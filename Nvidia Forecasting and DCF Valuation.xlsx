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<sst xmlns="http://schemas.openxmlformats.org/spreadsheetml/2006/main" count="142" uniqueCount="124">
  <si>
    <t xml:space="preserve">NVIDIA Corporation</t>
  </si>
  <si>
    <t xml:space="preserve">Historical Financials</t>
  </si>
  <si>
    <t xml:space="preserve">USD millions</t>
  </si>
  <si>
    <t xml:space="preserve">FY2024</t>
  </si>
  <si>
    <t xml:space="preserve">FY2025</t>
  </si>
  <si>
    <t xml:space="preserve">FY2026</t>
  </si>
  <si>
    <t xml:space="preserve">Fiscal year ended</t>
  </si>
  <si>
    <t xml:space="preserve">Jan 28, 2024</t>
  </si>
  <si>
    <t xml:space="preserve">Jan 26, 2025</t>
  </si>
  <si>
    <t xml:space="preserve">Jan 25, 2026</t>
  </si>
  <si>
    <t xml:space="preserve">INCOME STATEMENT</t>
  </si>
  <si>
    <t xml:space="preserve">Revenue</t>
  </si>
  <si>
    <t xml:space="preserve">  Revenue growth (YoY %)</t>
  </si>
  <si>
    <t xml:space="preserve">Cost of revenue</t>
  </si>
  <si>
    <t xml:space="preserve">Gross profit</t>
  </si>
  <si>
    <t xml:space="preserve">  Gross margin %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</si>
  <si>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</si>
  <si>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</si>
  <si>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</si>
  <si>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 (EBIT)</t>
  </si>
  <si>
    <t xml:space="preserve">  Operating margin %</t>
  </si>
  <si>
    <t xml:space="preserve">Interest income</t>
  </si>
  <si>
    <t xml:space="preserve">Interest expense (shown as negative, as presented)</t>
  </si>
  <si>
    <t xml:space="preserve">Other income, net</t>
  </si>
  <si>
    <t xml:space="preserve">Total other income, net</t>
  </si>
  <si>
    <t xml:space="preserve">Income before income tax</t>
  </si>
  <si>
    <t xml:space="preserve">Income tax expense</t>
  </si>
  <si>
    <t xml:space="preserve">  Effective tax rate %</t>
  </si>
  <si>
    <t xml:space="preserve">Net income</t>
  </si>
  <si>
    <t xml:space="preserve">Diluted weighted average shares (millions)</t>
  </si>
  <si>
    <t xml:space="preserve">Diluted EPS (USD, as reported)</t>
  </si>
  <si>
    <t xml:space="preserve">CASH FLOW</t>
  </si>
  <si>
    <t xml:space="preserve">Non-cash adjustments</t>
  </si>
  <si>
    <t xml:space="preserve">Stock-based compensation expense</t>
  </si>
  <si>
    <t xml:space="preserve">Depreciation and amortization</t>
  </si>
  <si>
    <t xml:space="preserve">Gains on non-marketable and publicly-held equity securities, net</t>
  </si>
  <si>
    <t xml:space="preserve">Deferred income taxes</t>
  </si>
  <si>
    <t xml:space="preserve">Other</t>
  </si>
  <si>
    <t xml:space="preserve">Changes in operating assets and liabilities, net of acquisitions</t>
  </si>
  <si>
    <t xml:space="preserve">Accounts receivable</t>
  </si>
  <si>
    <t xml:space="preserve">Inventories</t>
  </si>
  <si>
    <t xml:space="preserve">Prepaid expenses and other assets</t>
  </si>
  <si>
    <t xml:space="preserve">Accounts payable</t>
  </si>
  <si>
    <t xml:space="preserve">Accrued and other current liabilities</t>
  </si>
  <si>
    <t xml:space="preserve">Other long-term liabilities</t>
  </si>
  <si>
    <t xml:space="preserve">Net cash provided by operating activities</t>
  </si>
  <si>
    <t xml:space="preserve">Capital expenditure</t>
  </si>
  <si>
    <t xml:space="preserve">Purchases of property, equipment and intangibles (as presented, negative)</t>
  </si>
  <si>
    <t xml:space="preserve">CapEx</t>
  </si>
  <si>
    <t xml:space="preserve">Operating cash flow less CapEx</t>
  </si>
  <si>
    <t xml:space="preserve">WORKING CAPITAL </t>
  </si>
  <si>
    <t xml:space="preserve">Accounts receivable, net</t>
  </si>
  <si>
    <t xml:space="preserve">Prepaid expenses and other current assets</t>
  </si>
  <si>
    <t xml:space="preserve">Operating current assets</t>
  </si>
  <si>
    <t xml:space="preserve">Operating current liabilities</t>
  </si>
  <si>
    <t xml:space="preserve">Net working capital</t>
  </si>
  <si>
    <t xml:space="preserve">Change in net working capital</t>
  </si>
  <si>
    <t xml:space="preserve">CASH AND DEBT</t>
  </si>
  <si>
    <t xml:space="preserve">Cash and cash equivalents</t>
  </si>
  <si>
    <t xml:space="preserve">Marketable securities</t>
  </si>
  <si>
    <t xml:space="preserve">Total cash and marketable securities</t>
  </si>
  <si>
    <t xml:space="preserve">Short-term debt</t>
  </si>
  <si>
    <t xml:space="preserve">Long-term debt</t>
  </si>
  <si>
    <t xml:space="preserve">Total debt</t>
  </si>
  <si>
    <t xml:space="preserve">Net debt / (net cash)</t>
  </si>
  <si>
    <t xml:space="preserve">Shares outstanding at period end (millions)</t>
  </si>
  <si>
    <t xml:space="preserve">HISTORICAL METRICS </t>
  </si>
  <si>
    <t xml:space="preserve">Revenue growth</t>
  </si>
  <si>
    <t xml:space="preserve">Gross margin</t>
  </si>
  <si>
    <t xml:space="preserve">Operating margin</t>
  </si>
  <si>
    <t xml:space="preserve">Net margin</t>
  </si>
  <si>
    <t xml:space="preserve">Effective tax rate</t>
  </si>
  <si>
    <t xml:space="preserve">R&amp;D as % of revenue</t>
  </si>
  <si>
    <t xml:space="preserve">SG&amp;A as % of revenue</t>
  </si>
  <si>
    <t xml:space="preserve">CapEx as % of revenue</t>
  </si>
  <si>
    <t xml:space="preserve">D&amp;A as % of revenue</t>
  </si>
  <si>
    <t xml:space="preserve">Forecast</t>
  </si>
  <si>
    <t xml:space="preserve">FY2026A </t>
  </si>
  <si>
    <t xml:space="preserve">FY2027E </t>
  </si>
  <si>
    <t xml:space="preserve">FY2028E </t>
  </si>
  <si>
    <t xml:space="preserve">FY2029E </t>
  </si>
  <si>
    <t xml:space="preserve">FY2030E </t>
  </si>
  <si>
    <t xml:space="preserve">FY2031E </t>
  </si>
  <si>
    <t xml:space="preserve">  Revenue Growth</t>
  </si>
  <si>
    <t xml:space="preserve">  Gross Margin</t>
  </si>
  <si>
    <t xml:space="preserve">Operating expenses</t>
  </si>
  <si>
    <t xml:space="preserve">Tax rate</t>
  </si>
  <si>
    <t xml:space="preserve">Depreciation and amortization (%)</t>
  </si>
  <si>
    <t xml:space="preserve">Working capital % of revenue</t>
  </si>
  <si>
    <t xml:space="preserve">Operating Expenses </t>
  </si>
  <si>
    <t xml:space="preserve">EBIT </t>
  </si>
  <si>
    <t xml:space="preserve">NOPAT </t>
  </si>
  <si>
    <t xml:space="preserve">CapEx </t>
  </si>
  <si>
    <t xml:space="preserve">Free Cash Flow </t>
  </si>
  <si>
    <t xml:space="preserve">DCF Valuation</t>
  </si>
  <si>
    <t xml:space="preserve">WACC </t>
  </si>
  <si>
    <t xml:space="preserve">Risk-free rate</t>
  </si>
  <si>
    <t xml:space="preserve">Beta</t>
  </si>
  <si>
    <t xml:space="preserve">Market risk premium</t>
  </si>
  <si>
    <t xml:space="preserve">Cost of equity</t>
  </si>
  <si>
    <t xml:space="preserve">Cost of debt</t>
  </si>
  <si>
    <t xml:space="preserve">Market value of equity</t>
  </si>
  <si>
    <t xml:space="preserve">Market value of debt</t>
  </si>
  <si>
    <t xml:space="preserve">Total capital </t>
  </si>
  <si>
    <t xml:space="preserve">Equity weight </t>
  </si>
  <si>
    <t xml:space="preserve">Debt weight </t>
  </si>
  <si>
    <t xml:space="preserve">Tax rate </t>
  </si>
  <si>
    <t xml:space="preserve">After-tax cost of debt </t>
  </si>
  <si>
    <t xml:space="preserve">Discounted Dash Flows </t>
  </si>
  <si>
    <t xml:space="preserve">Discount Period </t>
  </si>
  <si>
    <t xml:space="preserve">Discount Factor </t>
  </si>
  <si>
    <t xml:space="preserve">Present Value of FCF </t>
  </si>
  <si>
    <t xml:space="preserve">Present value of forecast FCF </t>
  </si>
  <si>
    <t xml:space="preserve">Terminal Growth Rate </t>
  </si>
  <si>
    <t xml:space="preserve">Terminal Value </t>
  </si>
  <si>
    <t xml:space="preserve">Present value of Terminal Value </t>
  </si>
  <si>
    <t xml:space="preserve">Enterprise Value </t>
  </si>
  <si>
    <t xml:space="preserve">Cash &amp; Marketable Securities </t>
  </si>
  <si>
    <t xml:space="preserve">Debt </t>
  </si>
  <si>
    <t xml:space="preserve">Equity Value </t>
  </si>
  <si>
    <t xml:space="preserve">Shares Outstanding (millions) </t>
  </si>
  <si>
    <t xml:space="preserve">Implied Share Price </t>
  </si>
  <si>
    <t xml:space="preserve">Current Share Price </t>
  </si>
  <si>
    <t xml:space="preserve">Upside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</si>
</sst>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0.00;\(0.00\);\-"/>
    <numFmt numFmtId="168" formatCode="#,##0"/>
    <numFmt numFmtId="169" formatCode="0.00%"/>
    <numFmt numFmtId="170" formatCode="0.0%"/>
    <numFmt numFmtId="171" formatCode="#,##0.00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  <charset val="1"/>
    </font>
    <font>
      <sz val="10"/>
      <color rgb="FF7F7F7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7F7F7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81D32"/>
        <bgColor rgb="FF333300"/>
      </patternFill>
    </fill>
    <fill>
      <patternFill patternType="solid">
        <fgColor rgb="FFB7B3CA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481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1"/>
  <sheetViews>
    <sheetView showFormulas="false" showGridLines="true" showRowColHeaders="true" showZeros="true" rightToLeft="false" tabSelected="true" showOutlineSymbols="true" defaultGridColor="true" view="normal" topLeftCell="A100" colorId="64" zoomScale="120" zoomScaleNormal="120" zoomScalePageLayoutView="100" workbookViewId="0">
      <selection pane="topLeft" activeCell="A138" activeCellId="0" sqref="A13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8.52"/>
    <col collapsed="false" customWidth="false" hidden="false" outlineLevel="0" max="4" min="2" style="1" width="11.53"/>
  </cols>
  <sheetData>
    <row r="1" customFormat="false" ht="17.35" hidden="false" customHeight="false" outlineLevel="0" collapsed="false">
      <c r="A1" s="2" t="s">
        <v>0</v>
      </c>
      <c r="E1" s="1"/>
      <c r="F1" s="1"/>
      <c r="G1" s="1"/>
    </row>
    <row r="2" customFormat="false" ht="17.35" hidden="false" customHeight="false" outlineLevel="0" collapsed="false">
      <c r="A2" s="2"/>
      <c r="E2" s="1"/>
      <c r="F2" s="1"/>
      <c r="G2" s="1"/>
    </row>
    <row r="3" customFormat="false" ht="17.35" hidden="false" customHeight="false" outlineLevel="0" collapsed="false">
      <c r="A3" s="2" t="s">
        <v>1</v>
      </c>
      <c r="E3" s="1"/>
      <c r="F3" s="1"/>
      <c r="G3" s="1"/>
    </row>
    <row r="4" customFormat="false" ht="12.8" hidden="false" customHeight="false" outlineLevel="0" collapsed="false">
      <c r="A4" s="3"/>
      <c r="E4" s="1"/>
      <c r="F4" s="1"/>
      <c r="G4" s="1"/>
    </row>
    <row r="5" customFormat="false" ht="12.8" hidden="false" customHeight="fals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6"/>
      <c r="F5" s="1"/>
      <c r="G5" s="1"/>
    </row>
    <row r="6" customFormat="false" ht="12.8" hidden="false" customHeight="false" outlineLevel="0" collapsed="false">
      <c r="A6" s="7" t="s">
        <v>6</v>
      </c>
      <c r="B6" s="8" t="s">
        <v>7</v>
      </c>
      <c r="C6" s="8" t="s">
        <v>8</v>
      </c>
      <c r="D6" s="8" t="s">
        <v>9</v>
      </c>
      <c r="E6" s="1"/>
      <c r="F6" s="1"/>
      <c r="G6" s="1"/>
    </row>
    <row r="7" customFormat="false" ht="12.8" hidden="false" customHeight="false" outlineLevel="0" collapsed="false">
      <c r="E7" s="3"/>
      <c r="F7" s="1"/>
      <c r="G7" s="1"/>
    </row>
    <row r="8" customFormat="false" ht="12.8" hidden="false" customHeight="false" outlineLevel="0" collapsed="false">
      <c r="A8" s="9" t="s">
        <v>10</v>
      </c>
      <c r="B8" s="10"/>
      <c r="C8" s="10"/>
      <c r="D8" s="10"/>
      <c r="E8" s="3"/>
      <c r="F8" s="1"/>
      <c r="G8" s="1"/>
    </row>
    <row r="9" customFormat="false" ht="12.8" hidden="false" customHeight="false" outlineLevel="0" collapsed="false">
      <c r="A9" s="11" t="s">
        <v>11</v>
      </c>
      <c r="B9" s="12" t="n">
        <v>60922</v>
      </c>
      <c r="C9" s="12" t="n">
        <v>130497</v>
      </c>
      <c r="D9" s="12" t="n">
        <v>215938</v>
      </c>
      <c r="E9" s="3"/>
      <c r="F9" s="1"/>
      <c r="G9" s="1"/>
    </row>
    <row r="10" customFormat="false" ht="12.8" hidden="false" customHeight="false" outlineLevel="0" collapsed="false">
      <c r="A10" s="13" t="s">
        <v>12</v>
      </c>
      <c r="B10" s="8"/>
      <c r="C10" s="14" t="n">
        <f aca="false">C9/B9-1</f>
        <v>1.14203407635994</v>
      </c>
      <c r="D10" s="14" t="n">
        <f aca="false">D9/C9-1</f>
        <v>0.654735357900948</v>
      </c>
      <c r="E10" s="3"/>
      <c r="F10" s="1"/>
      <c r="G10" s="1"/>
    </row>
    <row r="11" customFormat="false" ht="12.8" hidden="false" customHeight="false" outlineLevel="0" collapsed="false">
      <c r="A11" s="13" t="s">
        <v>13</v>
      </c>
      <c r="B11" s="15" t="n">
        <v>16621</v>
      </c>
      <c r="C11" s="15" t="n">
        <v>32639</v>
      </c>
      <c r="D11" s="15" t="n">
        <v>62475</v>
      </c>
      <c r="E11" s="3"/>
      <c r="F11" s="1"/>
      <c r="G11" s="1"/>
    </row>
    <row r="12" customFormat="false" ht="12.8" hidden="false" customHeight="false" outlineLevel="0" collapsed="false">
      <c r="A12" s="16" t="s">
        <v>14</v>
      </c>
      <c r="B12" s="17" t="n">
        <f aca="false">B9-B11</f>
        <v>44301</v>
      </c>
      <c r="C12" s="17" t="n">
        <f aca="false">C9-C11</f>
        <v>97858</v>
      </c>
      <c r="D12" s="17" t="n">
        <f aca="false">D9-D11</f>
        <v>153463</v>
      </c>
      <c r="E12" s="3"/>
      <c r="F12" s="1"/>
      <c r="G12" s="1"/>
    </row>
    <row r="13" customFormat="false" ht="12.8" hidden="false" customHeight="false" outlineLevel="0" collapsed="false">
      <c r="A13" s="13" t="s">
        <v>15</v>
      </c>
      <c r="B13" s="14" t="n">
        <f aca="false">B12/B9</f>
        <v>0.72717573290437</v>
      </c>
      <c r="C13" s="14" t="n">
        <f aca="false">C12/C9</f>
        <v>0.749886970581699</v>
      </c>
      <c r="D13" s="14" t="n">
        <f aca="false">D12/D9</f>
        <v>0.710680843575471</v>
      </c>
      <c r="E13" s="3"/>
      <c r="F13" s="1"/>
      <c r="G13" s="1"/>
    </row>
    <row r="14" customFormat="false" ht="12.1" hidden="false" customHeight="true" outlineLevel="0" collapsed="false">
      <c r="A14" s="13" t="s">
        <v>16</v>
      </c>
      <c r="B14" s="15" t="n">
        <v>8675</v>
      </c>
      <c r="C14" s="15" t="n">
        <v>12914</v>
      </c>
      <c r="D14" s="15" t="n">
        <v>18497</v>
      </c>
      <c r="E14" s="3"/>
      <c r="F14" s="1"/>
      <c r="G14" s="1"/>
    </row>
    <row r="15" customFormat="false" ht="13.5" hidden="false" customHeight="true" outlineLevel="0" collapsed="false">
      <c r="A15" s="13" t="s">
        <v>17</v>
      </c>
      <c r="B15" s="15" t="n">
        <v>2654</v>
      </c>
      <c r="C15" s="15" t="n">
        <v>3491</v>
      </c>
      <c r="D15" s="15" t="n">
        <v>4579</v>
      </c>
      <c r="E15" s="3"/>
      <c r="F15" s="1"/>
      <c r="G15" s="1"/>
    </row>
    <row r="16" customFormat="false" ht="12.8" hidden="false" customHeight="false" outlineLevel="0" collapsed="false">
      <c r="A16" s="16" t="s">
        <v>18</v>
      </c>
      <c r="B16" s="17" t="n">
        <f aca="false">B14+B15</f>
        <v>11329</v>
      </c>
      <c r="C16" s="17" t="n">
        <f aca="false">C14+C15</f>
        <v>16405</v>
      </c>
      <c r="D16" s="17" t="n">
        <f aca="false">D14+D15</f>
        <v>23076</v>
      </c>
      <c r="E16" s="1"/>
      <c r="F16" s="1"/>
      <c r="G16" s="1"/>
    </row>
    <row r="17" customFormat="false" ht="12.8" hidden="false" customHeight="false" outlineLevel="0" collapsed="false">
      <c r="A17" s="11" t="s">
        <v>19</v>
      </c>
      <c r="B17" s="12" t="n">
        <f aca="false">B12-B16</f>
        <v>32972</v>
      </c>
      <c r="C17" s="12" t="n">
        <f aca="false">C12-C16</f>
        <v>81453</v>
      </c>
      <c r="D17" s="12" t="n">
        <f aca="false">D12-D16</f>
        <v>130387</v>
      </c>
      <c r="E17" s="1"/>
      <c r="F17" s="1"/>
      <c r="G17" s="1"/>
    </row>
    <row r="18" customFormat="false" ht="12.8" hidden="false" customHeight="false" outlineLevel="0" collapsed="false">
      <c r="A18" s="13" t="s">
        <v>20</v>
      </c>
      <c r="B18" s="14" t="n">
        <f aca="false">B17/B9</f>
        <v>0.541216637667838</v>
      </c>
      <c r="C18" s="14" t="n">
        <f aca="false">C17/C9</f>
        <v>0.624175268396975</v>
      </c>
      <c r="D18" s="14" t="n">
        <f aca="false">D17/D9</f>
        <v>0.603816836314127</v>
      </c>
      <c r="E18" s="1"/>
      <c r="F18" s="1"/>
      <c r="G18" s="1"/>
    </row>
    <row r="19" customFormat="false" ht="12.8" hidden="false" customHeight="false" outlineLevel="0" collapsed="false">
      <c r="A19" s="13" t="s">
        <v>21</v>
      </c>
      <c r="B19" s="15" t="n">
        <v>866</v>
      </c>
      <c r="C19" s="15" t="n">
        <v>1786</v>
      </c>
      <c r="D19" s="15" t="n">
        <v>2300</v>
      </c>
      <c r="E19" s="1"/>
      <c r="F19" s="1"/>
      <c r="G19" s="1"/>
    </row>
    <row r="20" customFormat="false" ht="12.8" hidden="false" customHeight="false" outlineLevel="0" collapsed="false">
      <c r="A20" s="13" t="s">
        <v>22</v>
      </c>
      <c r="B20" s="15" t="n">
        <v>-257</v>
      </c>
      <c r="C20" s="15" t="n">
        <v>-247</v>
      </c>
      <c r="D20" s="15" t="n">
        <v>-259</v>
      </c>
      <c r="E20" s="1"/>
      <c r="F20" s="1"/>
      <c r="G20" s="1"/>
    </row>
    <row r="21" customFormat="false" ht="12.8" hidden="false" customHeight="false" outlineLevel="0" collapsed="false">
      <c r="A21" s="13" t="s">
        <v>23</v>
      </c>
      <c r="B21" s="15" t="n">
        <v>237</v>
      </c>
      <c r="C21" s="15" t="n">
        <v>1034</v>
      </c>
      <c r="D21" s="15" t="n">
        <v>9022</v>
      </c>
      <c r="E21" s="1"/>
      <c r="F21" s="1"/>
      <c r="G21" s="1"/>
    </row>
    <row r="22" customFormat="false" ht="12.8" hidden="false" customHeight="false" outlineLevel="0" collapsed="false">
      <c r="A22" s="18" t="s">
        <v>24</v>
      </c>
      <c r="B22" s="19" t="n">
        <f aca="false">SUM(B19:B21)</f>
        <v>846</v>
      </c>
      <c r="C22" s="19" t="n">
        <f aca="false">SUM(C19:C21)</f>
        <v>2573</v>
      </c>
      <c r="D22" s="19" t="n">
        <f aca="false">SUM(D19:D21)</f>
        <v>11063</v>
      </c>
      <c r="E22" s="1"/>
      <c r="F22" s="1"/>
      <c r="G22" s="1"/>
    </row>
    <row r="23" customFormat="false" ht="12.8" hidden="false" customHeight="false" outlineLevel="0" collapsed="false">
      <c r="A23" s="11" t="s">
        <v>25</v>
      </c>
      <c r="B23" s="12" t="n">
        <f aca="false">B17+B22</f>
        <v>33818</v>
      </c>
      <c r="C23" s="12" t="n">
        <f aca="false">C17+C22</f>
        <v>84026</v>
      </c>
      <c r="D23" s="12" t="n">
        <f aca="false">D17+D22</f>
        <v>141450</v>
      </c>
      <c r="E23" s="1"/>
      <c r="F23" s="1"/>
      <c r="G23" s="1"/>
    </row>
    <row r="24" customFormat="false" ht="12.8" hidden="false" customHeight="false" outlineLevel="0" collapsed="false">
      <c r="A24" s="13" t="s">
        <v>26</v>
      </c>
      <c r="B24" s="15" t="n">
        <v>4058</v>
      </c>
      <c r="C24" s="15" t="n">
        <v>11146</v>
      </c>
      <c r="D24" s="15" t="n">
        <v>21383</v>
      </c>
      <c r="E24" s="1"/>
      <c r="F24" s="1"/>
      <c r="G24" s="1"/>
    </row>
    <row r="25" customFormat="false" ht="12.8" hidden="false" customHeight="false" outlineLevel="0" collapsed="false">
      <c r="A25" s="13" t="s">
        <v>27</v>
      </c>
      <c r="B25" s="14" t="n">
        <f aca="false">B24/B23</f>
        <v>0.119995268791768</v>
      </c>
      <c r="C25" s="14" t="n">
        <f aca="false">C24/C23</f>
        <v>0.132649418037274</v>
      </c>
      <c r="D25" s="14" t="n">
        <f aca="false">D24/D23</f>
        <v>0.151170024743726</v>
      </c>
      <c r="E25" s="1"/>
      <c r="F25" s="1"/>
      <c r="G25" s="1"/>
    </row>
    <row r="26" customFormat="false" ht="12.8" hidden="false" customHeight="false" outlineLevel="0" collapsed="false">
      <c r="A26" s="16" t="s">
        <v>28</v>
      </c>
      <c r="B26" s="17" t="n">
        <f aca="false">B23-B24</f>
        <v>29760</v>
      </c>
      <c r="C26" s="17" t="n">
        <f aca="false">C23-C24</f>
        <v>72880</v>
      </c>
      <c r="D26" s="17" t="n">
        <f aca="false">D23-D24</f>
        <v>120067</v>
      </c>
      <c r="E26" s="1"/>
      <c r="F26" s="1"/>
      <c r="G26" s="1"/>
    </row>
    <row r="27" customFormat="false" ht="12.8" hidden="false" customHeight="false" outlineLevel="0" collapsed="false">
      <c r="A27" s="13" t="s">
        <v>29</v>
      </c>
      <c r="B27" s="15" t="n">
        <v>24940</v>
      </c>
      <c r="C27" s="15" t="n">
        <v>24804</v>
      </c>
      <c r="D27" s="15" t="n">
        <v>24514</v>
      </c>
      <c r="E27" s="1"/>
      <c r="F27" s="1"/>
      <c r="G27" s="1"/>
    </row>
    <row r="28" customFormat="false" ht="12.8" hidden="false" customHeight="false" outlineLevel="0" collapsed="false">
      <c r="A28" s="13" t="s">
        <v>30</v>
      </c>
      <c r="B28" s="20" t="n">
        <v>1.19</v>
      </c>
      <c r="C28" s="20" t="n">
        <v>2.94</v>
      </c>
      <c r="D28" s="20" t="n">
        <v>4.9</v>
      </c>
      <c r="E28" s="1"/>
      <c r="F28" s="1"/>
      <c r="G28" s="1"/>
    </row>
    <row r="29" customFormat="false" ht="12.8" hidden="false" customHeight="false" outlineLevel="0" collapsed="false">
      <c r="B29" s="7"/>
      <c r="C29" s="7"/>
      <c r="D29" s="7"/>
      <c r="E29" s="1"/>
      <c r="F29" s="1"/>
      <c r="G29" s="1"/>
    </row>
    <row r="30" customFormat="false" ht="12.8" hidden="false" customHeight="false" outlineLevel="0" collapsed="false">
      <c r="A30" s="9" t="s">
        <v>31</v>
      </c>
      <c r="B30" s="21"/>
      <c r="C30" s="21"/>
      <c r="D30" s="21"/>
      <c r="E30" s="1"/>
      <c r="F30" s="1"/>
      <c r="G30" s="1"/>
    </row>
    <row r="31" customFormat="false" ht="12.8" hidden="false" customHeight="false" outlineLevel="0" collapsed="false">
      <c r="A31" s="13" t="s">
        <v>28</v>
      </c>
      <c r="B31" s="15" t="n">
        <f aca="false">B26</f>
        <v>29760</v>
      </c>
      <c r="C31" s="15" t="n">
        <f aca="false">C26</f>
        <v>72880</v>
      </c>
      <c r="D31" s="15" t="n">
        <f aca="false">D26</f>
        <v>120067</v>
      </c>
      <c r="E31" s="1"/>
      <c r="F31" s="1"/>
      <c r="G31" s="1"/>
    </row>
    <row r="32" customFormat="false" ht="12.8" hidden="false" customHeight="false" outlineLevel="0" collapsed="false">
      <c r="A32" s="22" t="s">
        <v>32</v>
      </c>
      <c r="B32" s="7"/>
      <c r="C32" s="7"/>
      <c r="D32" s="7"/>
      <c r="E32" s="1"/>
      <c r="F32" s="1"/>
      <c r="G32" s="1"/>
    </row>
    <row r="33" customFormat="false" ht="12.8" hidden="false" customHeight="false" outlineLevel="0" collapsed="false">
      <c r="A33" s="13" t="s">
        <v>33</v>
      </c>
      <c r="B33" s="15" t="n">
        <v>3549</v>
      </c>
      <c r="C33" s="15" t="n">
        <v>4737</v>
      </c>
      <c r="D33" s="15" t="n">
        <v>6386</v>
      </c>
      <c r="E33" s="1"/>
      <c r="F33" s="1"/>
      <c r="G33" s="1"/>
    </row>
    <row r="34" customFormat="false" ht="12.8" hidden="false" customHeight="false" outlineLevel="0" collapsed="false">
      <c r="A34" s="13" t="s">
        <v>34</v>
      </c>
      <c r="B34" s="15" t="n">
        <v>1508</v>
      </c>
      <c r="C34" s="15" t="n">
        <v>1864</v>
      </c>
      <c r="D34" s="15" t="n">
        <v>2843</v>
      </c>
      <c r="E34" s="1"/>
      <c r="F34" s="1"/>
      <c r="G34" s="1"/>
    </row>
    <row r="35" customFormat="false" ht="12.8" hidden="false" customHeight="false" outlineLevel="0" collapsed="false">
      <c r="A35" s="13" t="s">
        <v>35</v>
      </c>
      <c r="B35" s="15" t="n">
        <v>-238</v>
      </c>
      <c r="C35" s="15" t="n">
        <v>-1030</v>
      </c>
      <c r="D35" s="15" t="n">
        <v>-8918</v>
      </c>
      <c r="E35" s="1"/>
      <c r="F35" s="1"/>
      <c r="G35" s="1"/>
    </row>
    <row r="36" customFormat="false" ht="12.8" hidden="false" customHeight="false" outlineLevel="0" collapsed="false">
      <c r="A36" s="13" t="s">
        <v>36</v>
      </c>
      <c r="B36" s="15" t="n">
        <v>-2489</v>
      </c>
      <c r="C36" s="15" t="n">
        <v>-4477</v>
      </c>
      <c r="D36" s="15" t="n">
        <v>-1424</v>
      </c>
      <c r="E36" s="1"/>
      <c r="F36" s="1"/>
      <c r="G36" s="1"/>
    </row>
    <row r="37" customFormat="false" ht="12.8" hidden="false" customHeight="false" outlineLevel="0" collapsed="false">
      <c r="A37" s="13" t="s">
        <v>37</v>
      </c>
      <c r="B37" s="15" t="n">
        <v>-278</v>
      </c>
      <c r="C37" s="15" t="n">
        <v>-502</v>
      </c>
      <c r="D37" s="15" t="n">
        <v>-287</v>
      </c>
      <c r="E37" s="1"/>
      <c r="F37" s="1"/>
      <c r="G37" s="1"/>
    </row>
    <row r="38" customFormat="false" ht="12.8" hidden="false" customHeight="false" outlineLevel="0" collapsed="false">
      <c r="A38" s="22" t="s">
        <v>38</v>
      </c>
      <c r="B38" s="7"/>
      <c r="C38" s="7"/>
      <c r="D38" s="7"/>
      <c r="E38" s="1"/>
      <c r="F38" s="1"/>
      <c r="G38" s="1"/>
    </row>
    <row r="39" customFormat="false" ht="12.8" hidden="false" customHeight="false" outlineLevel="0" collapsed="false">
      <c r="A39" s="13" t="s">
        <v>39</v>
      </c>
      <c r="B39" s="15" t="n">
        <v>-6172</v>
      </c>
      <c r="C39" s="15" t="n">
        <v>-13063</v>
      </c>
      <c r="D39" s="15" t="n">
        <v>-15399</v>
      </c>
      <c r="E39" s="1"/>
      <c r="F39" s="1"/>
      <c r="G39" s="1"/>
    </row>
    <row r="40" customFormat="false" ht="12.8" hidden="false" customHeight="false" outlineLevel="0" collapsed="false">
      <c r="A40" s="13" t="s">
        <v>40</v>
      </c>
      <c r="B40" s="15" t="n">
        <v>-98</v>
      </c>
      <c r="C40" s="15" t="n">
        <v>-4781</v>
      </c>
      <c r="D40" s="15" t="n">
        <v>-11324</v>
      </c>
      <c r="E40" s="1"/>
      <c r="F40" s="1"/>
      <c r="G40" s="1"/>
    </row>
    <row r="41" customFormat="false" ht="12.8" hidden="false" customHeight="false" outlineLevel="0" collapsed="false">
      <c r="A41" s="13" t="s">
        <v>41</v>
      </c>
      <c r="B41" s="15" t="n">
        <v>-1522</v>
      </c>
      <c r="C41" s="15" t="n">
        <v>-395</v>
      </c>
      <c r="D41" s="15" t="n">
        <v>577</v>
      </c>
      <c r="E41" s="1"/>
      <c r="F41" s="1"/>
      <c r="G41" s="1"/>
    </row>
    <row r="42" customFormat="false" ht="12.8" hidden="false" customHeight="false" outlineLevel="0" collapsed="false">
      <c r="A42" s="13" t="s">
        <v>42</v>
      </c>
      <c r="B42" s="15" t="n">
        <v>1531</v>
      </c>
      <c r="C42" s="15" t="n">
        <v>3357</v>
      </c>
      <c r="D42" s="15" t="n">
        <v>3096</v>
      </c>
      <c r="E42" s="1"/>
      <c r="F42" s="1"/>
      <c r="G42" s="1"/>
    </row>
    <row r="43" customFormat="false" ht="12.8" hidden="false" customHeight="false" outlineLevel="0" collapsed="false">
      <c r="A43" s="13" t="s">
        <v>43</v>
      </c>
      <c r="B43" s="15" t="n">
        <v>2025</v>
      </c>
      <c r="C43" s="15" t="n">
        <v>4278</v>
      </c>
      <c r="D43" s="15" t="n">
        <v>5257</v>
      </c>
      <c r="E43" s="1"/>
      <c r="F43" s="1"/>
      <c r="G43" s="1"/>
    </row>
    <row r="44" customFormat="false" ht="12.8" hidden="false" customHeight="false" outlineLevel="0" collapsed="false">
      <c r="A44" s="13" t="s">
        <v>44</v>
      </c>
      <c r="B44" s="15" t="n">
        <v>514</v>
      </c>
      <c r="C44" s="15" t="n">
        <v>1221</v>
      </c>
      <c r="D44" s="15" t="n">
        <v>1844</v>
      </c>
      <c r="E44" s="1"/>
      <c r="F44" s="1"/>
      <c r="G44" s="1"/>
    </row>
    <row r="45" customFormat="false" ht="12.8" hidden="false" customHeight="false" outlineLevel="0" collapsed="false">
      <c r="A45" s="16" t="s">
        <v>45</v>
      </c>
      <c r="B45" s="17" t="n">
        <f aca="false">B31+SUM(B33:B37)+SUM(B39:B44)</f>
        <v>28090</v>
      </c>
      <c r="C45" s="17" t="n">
        <f aca="false">C31+SUM(C33:C37)+SUM(C39:C44)</f>
        <v>64089</v>
      </c>
      <c r="D45" s="17" t="n">
        <f aca="false">D31+SUM(D33:D37)+SUM(D39:D44)</f>
        <v>102718</v>
      </c>
      <c r="E45" s="1"/>
      <c r="F45" s="1"/>
      <c r="G45" s="1"/>
    </row>
    <row r="46" customFormat="false" ht="12.8" hidden="false" customHeight="false" outlineLevel="0" collapsed="false">
      <c r="A46" s="22" t="s">
        <v>46</v>
      </c>
      <c r="B46" s="7"/>
      <c r="C46" s="7"/>
      <c r="D46" s="7"/>
      <c r="E46" s="1"/>
      <c r="F46" s="1"/>
      <c r="G46" s="1"/>
    </row>
    <row r="47" customFormat="false" ht="12.8" hidden="false" customHeight="false" outlineLevel="0" collapsed="false">
      <c r="A47" s="13" t="s">
        <v>47</v>
      </c>
      <c r="B47" s="15" t="n">
        <v>-1069</v>
      </c>
      <c r="C47" s="15" t="n">
        <v>-3236</v>
      </c>
      <c r="D47" s="15" t="n">
        <v>-6042</v>
      </c>
      <c r="E47" s="1"/>
      <c r="F47" s="1"/>
      <c r="G47" s="1"/>
    </row>
    <row r="48" customFormat="false" ht="12.8" hidden="false" customHeight="false" outlineLevel="0" collapsed="false">
      <c r="A48" s="11" t="s">
        <v>48</v>
      </c>
      <c r="B48" s="12" t="n">
        <f aca="false">-B47</f>
        <v>1069</v>
      </c>
      <c r="C48" s="12" t="n">
        <f aca="false">-C47</f>
        <v>3236</v>
      </c>
      <c r="D48" s="12" t="n">
        <f aca="false">-D47</f>
        <v>6042</v>
      </c>
      <c r="E48" s="1"/>
      <c r="F48" s="1"/>
      <c r="G48" s="1"/>
    </row>
    <row r="49" customFormat="false" ht="12.8" hidden="false" customHeight="false" outlineLevel="0" collapsed="false">
      <c r="A49" s="18" t="s">
        <v>49</v>
      </c>
      <c r="B49" s="19" t="n">
        <f aca="false">B45-B48</f>
        <v>27021</v>
      </c>
      <c r="C49" s="19" t="n">
        <f aca="false">C45-C48</f>
        <v>60853</v>
      </c>
      <c r="D49" s="19" t="n">
        <f aca="false">D45-D48</f>
        <v>96676</v>
      </c>
      <c r="E49" s="1"/>
      <c r="F49" s="1"/>
      <c r="G49" s="1"/>
    </row>
    <row r="50" customFormat="false" ht="12.8" hidden="false" customHeight="false" outlineLevel="0" collapsed="false">
      <c r="B50" s="7"/>
      <c r="C50" s="7"/>
      <c r="D50" s="7"/>
      <c r="E50" s="1"/>
      <c r="F50" s="1"/>
      <c r="G50" s="1"/>
    </row>
    <row r="51" customFormat="false" ht="12.8" hidden="false" customHeight="false" outlineLevel="0" collapsed="false">
      <c r="A51" s="9" t="s">
        <v>50</v>
      </c>
      <c r="B51" s="21"/>
      <c r="C51" s="21"/>
      <c r="D51" s="21"/>
      <c r="E51" s="1"/>
      <c r="F51" s="1"/>
      <c r="G51" s="1"/>
    </row>
    <row r="52" customFormat="false" ht="12.8" hidden="false" customHeight="false" outlineLevel="0" collapsed="false">
      <c r="A52" s="13" t="s">
        <v>51</v>
      </c>
      <c r="B52" s="8"/>
      <c r="C52" s="15" t="n">
        <v>23065</v>
      </c>
      <c r="D52" s="15" t="n">
        <v>38466</v>
      </c>
      <c r="E52" s="1"/>
      <c r="F52" s="1"/>
      <c r="G52" s="1"/>
    </row>
    <row r="53" customFormat="false" ht="12.8" hidden="false" customHeight="false" outlineLevel="0" collapsed="false">
      <c r="A53" s="13" t="s">
        <v>40</v>
      </c>
      <c r="B53" s="8"/>
      <c r="C53" s="15" t="n">
        <v>10080</v>
      </c>
      <c r="D53" s="15" t="n">
        <v>21403</v>
      </c>
      <c r="E53" s="1"/>
      <c r="F53" s="1"/>
      <c r="G53" s="1"/>
    </row>
    <row r="54" customFormat="false" ht="12.8" hidden="false" customHeight="false" outlineLevel="0" collapsed="false">
      <c r="A54" s="13" t="s">
        <v>52</v>
      </c>
      <c r="B54" s="8"/>
      <c r="C54" s="15" t="n">
        <v>3771</v>
      </c>
      <c r="D54" s="15" t="n">
        <v>3180</v>
      </c>
      <c r="E54" s="1"/>
      <c r="F54" s="1"/>
      <c r="G54" s="1"/>
    </row>
    <row r="55" customFormat="false" ht="12.8" hidden="false" customHeight="false" outlineLevel="0" collapsed="false">
      <c r="A55" s="16" t="s">
        <v>53</v>
      </c>
      <c r="B55" s="23"/>
      <c r="C55" s="17" t="n">
        <f aca="false">SUM(C52:C54)</f>
        <v>36916</v>
      </c>
      <c r="D55" s="17" t="n">
        <f aca="false">SUM(D52:D54)</f>
        <v>63049</v>
      </c>
      <c r="E55" s="1"/>
      <c r="F55" s="1"/>
      <c r="G55" s="1"/>
    </row>
    <row r="56" customFormat="false" ht="12.8" hidden="false" customHeight="false" outlineLevel="0" collapsed="false">
      <c r="A56" s="13" t="s">
        <v>42</v>
      </c>
      <c r="B56" s="8"/>
      <c r="C56" s="15" t="n">
        <v>6310</v>
      </c>
      <c r="D56" s="15" t="n">
        <v>9812</v>
      </c>
      <c r="E56" s="1"/>
      <c r="F56" s="1"/>
      <c r="G56" s="1"/>
    </row>
    <row r="57" customFormat="false" ht="12.8" hidden="false" customHeight="false" outlineLevel="0" collapsed="false">
      <c r="A57" s="13" t="s">
        <v>43</v>
      </c>
      <c r="B57" s="8"/>
      <c r="C57" s="15" t="n">
        <v>11737</v>
      </c>
      <c r="D57" s="15" t="n">
        <v>21352</v>
      </c>
      <c r="E57" s="1"/>
      <c r="F57" s="1"/>
      <c r="G57" s="1"/>
    </row>
    <row r="58" customFormat="false" ht="12.8" hidden="false" customHeight="false" outlineLevel="0" collapsed="false">
      <c r="A58" s="16" t="s">
        <v>54</v>
      </c>
      <c r="B58" s="23"/>
      <c r="C58" s="17" t="n">
        <f aca="false">SUM(C56:C57)</f>
        <v>18047</v>
      </c>
      <c r="D58" s="17" t="n">
        <f aca="false">SUM(D56:D57)</f>
        <v>31164</v>
      </c>
      <c r="E58" s="1"/>
      <c r="F58" s="1"/>
      <c r="G58" s="1"/>
    </row>
    <row r="59" customFormat="false" ht="12.8" hidden="false" customHeight="false" outlineLevel="0" collapsed="false">
      <c r="A59" s="11" t="s">
        <v>55</v>
      </c>
      <c r="B59" s="8"/>
      <c r="C59" s="12" t="n">
        <f aca="false">C55-C58</f>
        <v>18869</v>
      </c>
      <c r="D59" s="12" t="n">
        <f aca="false">D55-D58</f>
        <v>31885</v>
      </c>
      <c r="E59" s="1"/>
      <c r="F59" s="1"/>
      <c r="G59" s="1"/>
    </row>
    <row r="60" customFormat="false" ht="12.8" hidden="false" customHeight="false" outlineLevel="0" collapsed="false">
      <c r="A60" s="13" t="s">
        <v>56</v>
      </c>
      <c r="B60" s="8"/>
      <c r="C60" s="8"/>
      <c r="D60" s="15" t="n">
        <f aca="false">D59-C59</f>
        <v>13016</v>
      </c>
      <c r="E60" s="1"/>
      <c r="F60" s="1"/>
      <c r="G60" s="1"/>
    </row>
    <row r="61" customFormat="false" ht="12.8" hidden="false" customHeight="false" outlineLevel="0" collapsed="false">
      <c r="B61" s="7"/>
      <c r="C61" s="7"/>
      <c r="D61" s="7"/>
      <c r="E61" s="1"/>
      <c r="F61" s="1"/>
      <c r="G61" s="1"/>
    </row>
    <row r="62" customFormat="false" ht="12.8" hidden="false" customHeight="false" outlineLevel="0" collapsed="false">
      <c r="A62" s="9" t="s">
        <v>57</v>
      </c>
      <c r="B62" s="21"/>
      <c r="C62" s="21"/>
      <c r="D62" s="21"/>
      <c r="E62" s="1"/>
      <c r="F62" s="1"/>
      <c r="G62" s="1"/>
    </row>
    <row r="63" customFormat="false" ht="12.8" hidden="false" customHeight="false" outlineLevel="0" collapsed="false">
      <c r="A63" s="13" t="s">
        <v>58</v>
      </c>
      <c r="B63" s="8"/>
      <c r="C63" s="15" t="n">
        <v>8589</v>
      </c>
      <c r="D63" s="15" t="n">
        <v>10605</v>
      </c>
      <c r="E63" s="1"/>
      <c r="F63" s="1"/>
      <c r="G63" s="1"/>
    </row>
    <row r="64" customFormat="false" ht="12.8" hidden="false" customHeight="false" outlineLevel="0" collapsed="false">
      <c r="A64" s="13" t="s">
        <v>59</v>
      </c>
      <c r="B64" s="8"/>
      <c r="C64" s="15" t="n">
        <v>34621</v>
      </c>
      <c r="D64" s="15" t="n">
        <v>51951</v>
      </c>
      <c r="E64" s="1"/>
      <c r="F64" s="1"/>
      <c r="G64" s="1"/>
    </row>
    <row r="65" customFormat="false" ht="12.8" hidden="false" customHeight="false" outlineLevel="0" collapsed="false">
      <c r="A65" s="16" t="s">
        <v>60</v>
      </c>
      <c r="B65" s="23"/>
      <c r="C65" s="17" t="n">
        <f aca="false">C63+C64</f>
        <v>43210</v>
      </c>
      <c r="D65" s="17" t="n">
        <f aca="false">D63+D64</f>
        <v>62556</v>
      </c>
      <c r="E65" s="1"/>
      <c r="F65" s="1"/>
      <c r="G65" s="1"/>
    </row>
    <row r="66" customFormat="false" ht="12.8" hidden="false" customHeight="false" outlineLevel="0" collapsed="false">
      <c r="A66" s="13" t="s">
        <v>61</v>
      </c>
      <c r="B66" s="8"/>
      <c r="C66" s="15"/>
      <c r="D66" s="15" t="n">
        <v>999</v>
      </c>
      <c r="E66" s="1"/>
      <c r="F66" s="1"/>
      <c r="G66" s="1"/>
    </row>
    <row r="67" customFormat="false" ht="12.8" hidden="false" customHeight="false" outlineLevel="0" collapsed="false">
      <c r="A67" s="13" t="s">
        <v>62</v>
      </c>
      <c r="B67" s="8"/>
      <c r="C67" s="15" t="n">
        <v>8463</v>
      </c>
      <c r="D67" s="15" t="n">
        <v>7469</v>
      </c>
      <c r="E67" s="1"/>
      <c r="F67" s="1"/>
      <c r="G67" s="1"/>
    </row>
    <row r="68" customFormat="false" ht="12.8" hidden="false" customHeight="false" outlineLevel="0" collapsed="false">
      <c r="A68" s="16" t="s">
        <v>63</v>
      </c>
      <c r="B68" s="23"/>
      <c r="C68" s="17" t="n">
        <f aca="false">C66+C67</f>
        <v>8463</v>
      </c>
      <c r="D68" s="17" t="n">
        <f aca="false">D66+D67</f>
        <v>8468</v>
      </c>
      <c r="E68" s="1"/>
      <c r="F68" s="1"/>
      <c r="G68" s="1"/>
    </row>
    <row r="69" customFormat="false" ht="12.8" hidden="false" customHeight="false" outlineLevel="0" collapsed="false">
      <c r="A69" s="11" t="s">
        <v>64</v>
      </c>
      <c r="B69" s="8"/>
      <c r="C69" s="12" t="n">
        <f aca="false">C68-C65</f>
        <v>-34747</v>
      </c>
      <c r="D69" s="12" t="n">
        <f aca="false">D68-D65</f>
        <v>-54088</v>
      </c>
      <c r="E69" s="1"/>
      <c r="F69" s="1"/>
      <c r="G69" s="1"/>
    </row>
    <row r="70" customFormat="false" ht="12.8" hidden="false" customHeight="false" outlineLevel="0" collapsed="false">
      <c r="A70" s="13" t="s">
        <v>65</v>
      </c>
      <c r="B70" s="15" t="n">
        <v>24643</v>
      </c>
      <c r="C70" s="15" t="n">
        <v>24477</v>
      </c>
      <c r="D70" s="15" t="n">
        <v>24304</v>
      </c>
      <c r="E70" s="1"/>
      <c r="F70" s="1"/>
      <c r="G70" s="1"/>
    </row>
    <row r="71" customFormat="false" ht="12.8" hidden="false" customHeight="false" outlineLevel="0" collapsed="false">
      <c r="B71" s="7"/>
      <c r="C71" s="7"/>
      <c r="D71" s="7"/>
      <c r="E71" s="1"/>
      <c r="F71" s="1"/>
      <c r="G71" s="1"/>
    </row>
    <row r="72" customFormat="false" ht="12.8" hidden="false" customHeight="false" outlineLevel="0" collapsed="false">
      <c r="A72" s="9" t="s">
        <v>66</v>
      </c>
      <c r="B72" s="21"/>
      <c r="C72" s="21"/>
      <c r="D72" s="21"/>
      <c r="E72" s="1"/>
      <c r="F72" s="1"/>
      <c r="G72" s="1"/>
    </row>
    <row r="73" customFormat="false" ht="12.8" hidden="false" customHeight="false" outlineLevel="0" collapsed="false">
      <c r="A73" s="13" t="s">
        <v>67</v>
      </c>
      <c r="B73" s="8"/>
      <c r="C73" s="14" t="n">
        <f aca="false">C10</f>
        <v>1.14203407635994</v>
      </c>
      <c r="D73" s="14" t="n">
        <f aca="false">D10</f>
        <v>0.654735357900948</v>
      </c>
      <c r="E73" s="1"/>
      <c r="F73" s="1"/>
      <c r="G73" s="1"/>
    </row>
    <row r="74" customFormat="false" ht="12.8" hidden="false" customHeight="false" outlineLevel="0" collapsed="false">
      <c r="A74" s="13" t="s">
        <v>68</v>
      </c>
      <c r="B74" s="14" t="n">
        <f aca="false">B12/B9</f>
        <v>0.72717573290437</v>
      </c>
      <c r="C74" s="14" t="n">
        <f aca="false">C12/C9</f>
        <v>0.749886970581699</v>
      </c>
      <c r="D74" s="14" t="n">
        <f aca="false">D12/D9</f>
        <v>0.710680843575471</v>
      </c>
      <c r="E74" s="1"/>
      <c r="F74" s="1"/>
      <c r="G74" s="1"/>
    </row>
    <row r="75" customFormat="false" ht="12.8" hidden="false" customHeight="false" outlineLevel="0" collapsed="false">
      <c r="A75" s="13" t="s">
        <v>69</v>
      </c>
      <c r="B75" s="14" t="n">
        <f aca="false">B17/B9</f>
        <v>0.541216637667838</v>
      </c>
      <c r="C75" s="14" t="n">
        <f aca="false">C17/C9</f>
        <v>0.624175268396975</v>
      </c>
      <c r="D75" s="14" t="n">
        <f aca="false">D17/D9</f>
        <v>0.603816836314127</v>
      </c>
      <c r="E75" s="1"/>
      <c r="F75" s="1"/>
      <c r="G75" s="1"/>
    </row>
    <row r="76" customFormat="false" ht="12.8" hidden="false" customHeight="false" outlineLevel="0" collapsed="false">
      <c r="A76" s="13" t="s">
        <v>70</v>
      </c>
      <c r="B76" s="14" t="n">
        <f aca="false">B26/B9</f>
        <v>0.488493483470667</v>
      </c>
      <c r="C76" s="14" t="n">
        <f aca="false">C26/C9</f>
        <v>0.558480271577124</v>
      </c>
      <c r="D76" s="14" t="n">
        <f aca="false">D26/D9</f>
        <v>0.556025340607026</v>
      </c>
      <c r="E76" s="1"/>
      <c r="F76" s="1"/>
      <c r="G76" s="1"/>
    </row>
    <row r="77" customFormat="false" ht="12.8" hidden="false" customHeight="false" outlineLevel="0" collapsed="false">
      <c r="A77" s="13" t="s">
        <v>71</v>
      </c>
      <c r="B77" s="14" t="n">
        <f aca="false">B24/B23</f>
        <v>0.119995268791768</v>
      </c>
      <c r="C77" s="14" t="n">
        <f aca="false">C24/C23</f>
        <v>0.132649418037274</v>
      </c>
      <c r="D77" s="14" t="n">
        <f aca="false">D24/D23</f>
        <v>0.151170024743726</v>
      </c>
      <c r="E77" s="1"/>
      <c r="F77" s="1"/>
      <c r="G77" s="1"/>
    </row>
    <row r="78" customFormat="false" ht="12.8" hidden="false" customHeight="false" outlineLevel="0" collapsed="false">
      <c r="A78" s="13" t="s">
        <v>72</v>
      </c>
      <c r="B78" s="14" t="n">
        <f aca="false">B14/B9</f>
        <v>0.142395193854437</v>
      </c>
      <c r="C78" s="14" t="n">
        <f aca="false">C14/C9</f>
        <v>0.0989601293516326</v>
      </c>
      <c r="D78" s="14" t="n">
        <f aca="false">D14/D9</f>
        <v>0.0856588465207606</v>
      </c>
      <c r="E78" s="1"/>
      <c r="F78" s="1"/>
      <c r="G78" s="1"/>
    </row>
    <row r="79" customFormat="false" ht="12.8" hidden="false" customHeight="false" outlineLevel="0" collapsed="false">
      <c r="A79" s="13" t="s">
        <v>73</v>
      </c>
      <c r="B79" s="14" t="n">
        <f aca="false">B15/B9</f>
        <v>0.0435639013820951</v>
      </c>
      <c r="C79" s="14" t="n">
        <f aca="false">C15/C9</f>
        <v>0.0267515728330919</v>
      </c>
      <c r="D79" s="14" t="n">
        <f aca="false">D15/D9</f>
        <v>0.0212051607405829</v>
      </c>
      <c r="E79" s="1"/>
      <c r="F79" s="1"/>
      <c r="G79" s="1"/>
    </row>
    <row r="80" customFormat="false" ht="12.8" hidden="false" customHeight="false" outlineLevel="0" collapsed="false">
      <c r="A80" s="13" t="s">
        <v>74</v>
      </c>
      <c r="B80" s="14" t="n">
        <f aca="false">B48/B9</f>
        <v>0.017547027346443</v>
      </c>
      <c r="C80" s="14" t="n">
        <f aca="false">C48/C9</f>
        <v>0.0247975049234848</v>
      </c>
      <c r="D80" s="14" t="n">
        <f aca="false">D48/D9</f>
        <v>0.0279802535913086</v>
      </c>
      <c r="E80" s="1"/>
      <c r="F80" s="1"/>
      <c r="G80" s="1"/>
    </row>
    <row r="81" customFormat="false" ht="12.8" hidden="false" customHeight="false" outlineLevel="0" collapsed="false">
      <c r="A81" s="13" t="s">
        <v>75</v>
      </c>
      <c r="B81" s="14" t="n">
        <f aca="false">B34/B9</f>
        <v>0.0247529628048981</v>
      </c>
      <c r="C81" s="14" t="n">
        <f aca="false">C34/C9</f>
        <v>0.0142838532686575</v>
      </c>
      <c r="D81" s="14" t="n">
        <f aca="false">D34/D9</f>
        <v>0.0131658161138845</v>
      </c>
      <c r="E81" s="1"/>
      <c r="F81" s="1"/>
      <c r="G81" s="1"/>
    </row>
    <row r="82" customFormat="false" ht="12.8" hidden="false" customHeight="false" outlineLevel="0" collapsed="false">
      <c r="E82" s="1"/>
      <c r="F82" s="1"/>
      <c r="G82" s="1"/>
    </row>
    <row r="83" customFormat="false" ht="17.35" hidden="false" customHeight="false" outlineLevel="0" collapsed="false">
      <c r="A83" s="2" t="s">
        <v>76</v>
      </c>
      <c r="E83" s="1"/>
      <c r="F83" s="1"/>
      <c r="G83" s="1"/>
    </row>
    <row r="84" customFormat="false" ht="12.8" hidden="false" customHeight="false" outlineLevel="0" collapsed="false">
      <c r="E84" s="1"/>
      <c r="F84" s="1"/>
      <c r="G84" s="1"/>
    </row>
    <row r="85" customFormat="false" ht="12.8" hidden="false" customHeight="false" outlineLevel="0" collapsed="false">
      <c r="A85" s="24" t="s">
        <v>2</v>
      </c>
      <c r="B85" s="25" t="s">
        <v>77</v>
      </c>
      <c r="C85" s="25" t="s">
        <v>78</v>
      </c>
      <c r="D85" s="25" t="s">
        <v>79</v>
      </c>
      <c r="E85" s="25" t="s">
        <v>80</v>
      </c>
      <c r="F85" s="25" t="s">
        <v>81</v>
      </c>
      <c r="G85" s="25" t="s">
        <v>82</v>
      </c>
    </row>
    <row r="86" customFormat="false" ht="12.8" hidden="false" customHeight="false" outlineLevel="0" collapsed="false">
      <c r="E86" s="1"/>
      <c r="F86" s="1"/>
      <c r="G86" s="1"/>
    </row>
    <row r="87" s="29" customFormat="true" ht="12.8" hidden="false" customHeight="false" outlineLevel="0" collapsed="false">
      <c r="A87" s="26" t="s">
        <v>11</v>
      </c>
      <c r="B87" s="27" t="n">
        <v>215938</v>
      </c>
      <c r="C87" s="28" t="n">
        <f aca="false">B87*(1+C88)</f>
        <v>367094.6</v>
      </c>
      <c r="D87" s="27" t="n">
        <f aca="false">C87*(1+D88)</f>
        <v>624060.82</v>
      </c>
      <c r="E87" s="27" t="n">
        <f aca="false">D87*(1+E88)</f>
        <v>811279.066</v>
      </c>
      <c r="F87" s="27" t="n">
        <f aca="false">E87*(1+F88)</f>
        <v>973534.8792</v>
      </c>
      <c r="G87" s="27" t="n">
        <f aca="false">F87*(1+G88)</f>
        <v>1119565.11108</v>
      </c>
    </row>
    <row r="88" s="33" customFormat="true" ht="12.8" hidden="false" customHeight="false" outlineLevel="0" collapsed="false">
      <c r="A88" s="30" t="s">
        <v>83</v>
      </c>
      <c r="B88" s="31" t="n">
        <f aca="false">(B87/130497)-1</f>
        <v>0.654735357900948</v>
      </c>
      <c r="C88" s="32" t="n">
        <v>0.7</v>
      </c>
      <c r="D88" s="31" t="n">
        <v>0.7</v>
      </c>
      <c r="E88" s="31" t="n">
        <v>0.3</v>
      </c>
      <c r="F88" s="31" t="n">
        <v>0.2</v>
      </c>
      <c r="G88" s="31" t="n">
        <v>0.15</v>
      </c>
    </row>
    <row r="89" s="29" customFormat="true" ht="12.8" hidden="false" customHeight="false" outlineLevel="0" collapsed="false">
      <c r="A89" s="26" t="s">
        <v>14</v>
      </c>
      <c r="B89" s="27"/>
      <c r="C89" s="27" t="n">
        <f aca="false">C87*C90</f>
        <v>271650.004</v>
      </c>
      <c r="D89" s="27" t="n">
        <f aca="false">D87*D90</f>
        <v>452444.0945</v>
      </c>
      <c r="E89" s="27" t="n">
        <f aca="false">E87*E90</f>
        <v>588177.32285</v>
      </c>
      <c r="F89" s="27" t="n">
        <f aca="false">F87*F90</f>
        <v>705812.78742</v>
      </c>
      <c r="G89" s="27" t="n">
        <f aca="false">G87*G90</f>
        <v>811684.705533</v>
      </c>
    </row>
    <row r="90" customFormat="false" ht="12.8" hidden="false" customHeight="false" outlineLevel="0" collapsed="false">
      <c r="A90" s="34" t="s">
        <v>84</v>
      </c>
      <c r="C90" s="30" t="n">
        <v>0.74</v>
      </c>
      <c r="D90" s="30" t="n">
        <v>0.725</v>
      </c>
      <c r="E90" s="30" t="n">
        <v>0.725</v>
      </c>
      <c r="F90" s="30" t="n">
        <v>0.725</v>
      </c>
      <c r="G90" s="30" t="n">
        <v>0.725</v>
      </c>
    </row>
    <row r="91" s="36" customFormat="true" ht="12.8" hidden="false" customHeight="false" outlineLevel="0" collapsed="false">
      <c r="A91" s="35" t="s">
        <v>85</v>
      </c>
      <c r="B91" s="32"/>
      <c r="C91" s="35" t="n">
        <v>0.095</v>
      </c>
      <c r="D91" s="35" t="n">
        <v>0.09</v>
      </c>
      <c r="E91" s="35" t="n">
        <v>0.085</v>
      </c>
      <c r="F91" s="35" t="n">
        <v>0.0825</v>
      </c>
      <c r="G91" s="35" t="n">
        <v>0.08</v>
      </c>
    </row>
    <row r="92" s="36" customFormat="true" ht="12.8" hidden="false" customHeight="false" outlineLevel="0" collapsed="false">
      <c r="A92" s="32" t="s">
        <v>86</v>
      </c>
      <c r="B92" s="32"/>
      <c r="C92" s="35" t="n">
        <v>0.17</v>
      </c>
      <c r="D92" s="35" t="n">
        <v>0.17</v>
      </c>
      <c r="E92" s="35" t="n">
        <v>0.17</v>
      </c>
      <c r="F92" s="35" t="n">
        <v>0.17</v>
      </c>
      <c r="G92" s="35" t="n">
        <v>0.17</v>
      </c>
    </row>
    <row r="93" customFormat="false" ht="12.8" hidden="false" customHeight="false" outlineLevel="0" collapsed="false">
      <c r="A93" s="1" t="s">
        <v>87</v>
      </c>
      <c r="C93" s="30" t="n">
        <v>0.015</v>
      </c>
      <c r="D93" s="30" t="n">
        <v>0.015</v>
      </c>
      <c r="E93" s="30" t="n">
        <v>0.015</v>
      </c>
      <c r="F93" s="30" t="n">
        <v>0.015</v>
      </c>
      <c r="G93" s="30" t="n">
        <v>0.015</v>
      </c>
    </row>
    <row r="94" customFormat="false" ht="12.8" hidden="false" customHeight="false" outlineLevel="0" collapsed="false">
      <c r="A94" s="34" t="s">
        <v>48</v>
      </c>
      <c r="C94" s="30" t="n">
        <v>0.03</v>
      </c>
      <c r="D94" s="30" t="n">
        <v>0.028</v>
      </c>
      <c r="E94" s="30" t="n">
        <v>0.025</v>
      </c>
      <c r="F94" s="30" t="n">
        <v>0.025</v>
      </c>
      <c r="G94" s="30" t="n">
        <v>0.025</v>
      </c>
    </row>
    <row r="95" customFormat="false" ht="12.8" hidden="false" customHeight="false" outlineLevel="0" collapsed="false">
      <c r="A95" s="1" t="s">
        <v>88</v>
      </c>
      <c r="C95" s="31" t="n">
        <v>0.15</v>
      </c>
      <c r="D95" s="30" t="n">
        <v>0.15</v>
      </c>
      <c r="E95" s="30" t="n">
        <v>0.15</v>
      </c>
      <c r="F95" s="30" t="n">
        <v>0.15</v>
      </c>
      <c r="G95" s="30" t="n">
        <v>0.15</v>
      </c>
    </row>
    <row r="96" s="29" customFormat="true" ht="12.8" hidden="false" customHeight="false" outlineLevel="0" collapsed="false">
      <c r="A96" s="27" t="s">
        <v>55</v>
      </c>
      <c r="B96" s="27"/>
      <c r="C96" s="27" t="n">
        <f aca="false">C87*C95</f>
        <v>55064.19</v>
      </c>
      <c r="D96" s="27" t="n">
        <f aca="false">D87*D95</f>
        <v>93609.123</v>
      </c>
      <c r="E96" s="27" t="n">
        <f aca="false">E87*E95</f>
        <v>121691.8599</v>
      </c>
      <c r="F96" s="27" t="n">
        <f aca="false">F87*F95</f>
        <v>146030.23188</v>
      </c>
      <c r="G96" s="27" t="n">
        <f aca="false">G87*G95</f>
        <v>167934.766662</v>
      </c>
    </row>
    <row r="97" s="29" customFormat="true" ht="12.8" hidden="false" customHeight="false" outlineLevel="0" collapsed="false">
      <c r="A97" s="27" t="s">
        <v>56</v>
      </c>
      <c r="B97" s="27"/>
      <c r="C97" s="27" t="n">
        <f aca="false">C96-$D$59</f>
        <v>23179.19</v>
      </c>
      <c r="D97" s="27" t="n">
        <f aca="false">D96-C96</f>
        <v>38544.933</v>
      </c>
      <c r="E97" s="28" t="n">
        <f aca="false">E96-D96</f>
        <v>28082.7369</v>
      </c>
      <c r="F97" s="28" t="n">
        <f aca="false">F96-E96</f>
        <v>24338.37198</v>
      </c>
      <c r="G97" s="28" t="n">
        <f aca="false">G96-F96</f>
        <v>21904.534782</v>
      </c>
    </row>
    <row r="98" s="29" customFormat="true" ht="12.8" hidden="false" customHeight="false" outlineLevel="0" collapsed="false">
      <c r="A98" s="28" t="s">
        <v>89</v>
      </c>
      <c r="B98" s="27"/>
      <c r="C98" s="27" t="n">
        <f aca="false">C87*C91</f>
        <v>34873.987</v>
      </c>
      <c r="D98" s="27" t="n">
        <f aca="false">D87*D91</f>
        <v>56165.4738</v>
      </c>
      <c r="E98" s="27" t="n">
        <f aca="false">E87*E91</f>
        <v>68958.72061</v>
      </c>
      <c r="F98" s="27" t="n">
        <f aca="false">F87*F91</f>
        <v>80316.627534</v>
      </c>
      <c r="G98" s="27" t="n">
        <f aca="false">G87*G91</f>
        <v>89565.2088864</v>
      </c>
    </row>
    <row r="99" s="29" customFormat="true" ht="12.8" hidden="false" customHeight="false" outlineLevel="0" collapsed="false">
      <c r="A99" s="28" t="s">
        <v>90</v>
      </c>
      <c r="B99" s="27"/>
      <c r="C99" s="27" t="n">
        <f aca="false">C89-C98</f>
        <v>236776.017</v>
      </c>
      <c r="D99" s="27" t="n">
        <f aca="false">D89-D98</f>
        <v>396278.6207</v>
      </c>
      <c r="E99" s="27" t="n">
        <f aca="false">E89-E98</f>
        <v>519218.60224</v>
      </c>
      <c r="F99" s="27" t="n">
        <f aca="false">F89-F98</f>
        <v>625496.159886</v>
      </c>
      <c r="G99" s="27" t="n">
        <f aca="false">G89-G98</f>
        <v>722119.4966466</v>
      </c>
    </row>
    <row r="100" s="29" customFormat="true" ht="12.8" hidden="false" customHeight="false" outlineLevel="0" collapsed="false">
      <c r="A100" s="27" t="s">
        <v>91</v>
      </c>
      <c r="B100" s="27"/>
      <c r="C100" s="27" t="n">
        <f aca="false">C99*(1-C92)</f>
        <v>196524.09411</v>
      </c>
      <c r="D100" s="27" t="n">
        <f aca="false">D99*(1-D92)</f>
        <v>328911.255181</v>
      </c>
      <c r="E100" s="27" t="n">
        <f aca="false">E99*(1-E92)</f>
        <v>430951.4398592</v>
      </c>
      <c r="F100" s="27" t="n">
        <f aca="false">F99*(1-F92)</f>
        <v>519161.81270538</v>
      </c>
      <c r="G100" s="27" t="n">
        <f aca="false">G99*(1-G92)</f>
        <v>599359.182216678</v>
      </c>
    </row>
    <row r="101" s="29" customFormat="true" ht="12.8" hidden="false" customHeight="false" outlineLevel="0" collapsed="false">
      <c r="A101" s="28" t="s">
        <v>92</v>
      </c>
      <c r="B101" s="27"/>
      <c r="C101" s="27" t="n">
        <f aca="false">C87*C94</f>
        <v>11012.838</v>
      </c>
      <c r="D101" s="27" t="n">
        <f aca="false">D87*D94</f>
        <v>17473.70296</v>
      </c>
      <c r="E101" s="27" t="n">
        <f aca="false">E87*E94</f>
        <v>20281.97665</v>
      </c>
      <c r="F101" s="27" t="n">
        <f aca="false">F87*F94</f>
        <v>24338.37198</v>
      </c>
      <c r="G101" s="27" t="n">
        <f aca="false">G87*G94</f>
        <v>27989.127777</v>
      </c>
    </row>
    <row r="102" s="29" customFormat="true" ht="12.8" hidden="false" customHeight="false" outlineLevel="0" collapsed="false">
      <c r="A102" s="28" t="s">
        <v>34</v>
      </c>
      <c r="B102" s="27"/>
      <c r="C102" s="27" t="n">
        <f aca="false">C87*C93</f>
        <v>5506.419</v>
      </c>
      <c r="D102" s="27" t="n">
        <f aca="false">D87*D93</f>
        <v>9360.9123</v>
      </c>
      <c r="E102" s="27" t="n">
        <f aca="false">E87*E93</f>
        <v>12169.18599</v>
      </c>
      <c r="F102" s="27" t="n">
        <f aca="false">F87*F93</f>
        <v>14603.023188</v>
      </c>
      <c r="G102" s="27" t="n">
        <f aca="false">G87*G93</f>
        <v>16793.4766662</v>
      </c>
    </row>
    <row r="103" s="29" customFormat="true" ht="12.8" hidden="false" customHeight="false" outlineLevel="0" collapsed="false">
      <c r="A103" s="28" t="s">
        <v>93</v>
      </c>
      <c r="B103" s="27"/>
      <c r="C103" s="27" t="n">
        <f aca="false">C100+C102-C101-C97</f>
        <v>167838.48511</v>
      </c>
      <c r="D103" s="27" t="n">
        <f aca="false">D100+D102-D101-D97</f>
        <v>282253.531521</v>
      </c>
      <c r="E103" s="27" t="n">
        <f aca="false">E100+E102-E101-E97</f>
        <v>394755.9122992</v>
      </c>
      <c r="F103" s="27" t="n">
        <f aca="false">F100+F102-F101-F97</f>
        <v>485088.09193338</v>
      </c>
      <c r="G103" s="27" t="n">
        <f aca="false">G100+G102-G101-G97</f>
        <v>566258.996323878</v>
      </c>
    </row>
    <row r="104" customFormat="false" ht="12.8" hidden="false" customHeight="false" outlineLevel="0" collapsed="false">
      <c r="E104" s="37"/>
      <c r="F104" s="37"/>
      <c r="G104" s="37"/>
    </row>
    <row r="105" customFormat="false" ht="17.35" hidden="false" customHeight="false" outlineLevel="0" collapsed="false">
      <c r="A105" s="2" t="s">
        <v>94</v>
      </c>
      <c r="E105" s="37"/>
      <c r="F105" s="37"/>
      <c r="G105" s="37"/>
    </row>
    <row r="106" customFormat="false" ht="12.8" hidden="false" customHeight="false" outlineLevel="0" collapsed="false">
      <c r="E106" s="37"/>
      <c r="F106" s="37"/>
      <c r="G106" s="37"/>
    </row>
    <row r="107" customFormat="false" ht="12.8" hidden="false" customHeight="false" outlineLevel="0" collapsed="false">
      <c r="A107" s="38" t="s">
        <v>2</v>
      </c>
      <c r="B107" s="25" t="s">
        <v>77</v>
      </c>
      <c r="C107" s="25" t="s">
        <v>78</v>
      </c>
      <c r="D107" s="25" t="s">
        <v>79</v>
      </c>
      <c r="E107" s="25" t="s">
        <v>80</v>
      </c>
      <c r="F107" s="25" t="s">
        <v>81</v>
      </c>
      <c r="G107" s="25" t="s">
        <v>82</v>
      </c>
    </row>
    <row r="108" customFormat="false" ht="12.8" hidden="false" customHeight="false" outlineLevel="0" collapsed="false">
      <c r="E108" s="37"/>
      <c r="F108" s="37"/>
      <c r="G108" s="37"/>
    </row>
    <row r="109" customFormat="false" ht="12.8" hidden="false" customHeight="false" outlineLevel="0" collapsed="false">
      <c r="A109" s="39" t="s">
        <v>95</v>
      </c>
      <c r="B109" s="32" t="n">
        <f aca="false">B118*B113+B119*B121</f>
        <v>0.144360548387169</v>
      </c>
      <c r="E109" s="37"/>
    </row>
    <row r="110" s="41" customFormat="true" ht="12.8" hidden="false" customHeight="false" outlineLevel="0" collapsed="false">
      <c r="A110" s="32" t="s">
        <v>96</v>
      </c>
      <c r="B110" s="32" t="n">
        <v>0.0531</v>
      </c>
      <c r="C110" s="32"/>
      <c r="D110" s="32"/>
      <c r="E110" s="40"/>
      <c r="F110" s="40"/>
      <c r="G110" s="40"/>
    </row>
    <row r="111" customFormat="false" ht="12.8" hidden="false" customHeight="false" outlineLevel="0" collapsed="false">
      <c r="A111" s="1" t="s">
        <v>97</v>
      </c>
      <c r="B111" s="1" t="n">
        <v>2.22</v>
      </c>
      <c r="E111" s="37"/>
      <c r="F111" s="37"/>
      <c r="G111" s="37"/>
    </row>
    <row r="112" s="41" customFormat="true" ht="12.8" hidden="false" customHeight="false" outlineLevel="0" collapsed="false">
      <c r="A112" s="32" t="s">
        <v>98</v>
      </c>
      <c r="B112" s="32" t="n">
        <v>0.0414</v>
      </c>
      <c r="C112" s="32"/>
      <c r="D112" s="32"/>
      <c r="E112" s="40"/>
      <c r="F112" s="40"/>
      <c r="G112" s="40"/>
    </row>
    <row r="113" customFormat="false" ht="12.8" hidden="false" customHeight="false" outlineLevel="0" collapsed="false">
      <c r="A113" s="1" t="s">
        <v>99</v>
      </c>
      <c r="B113" s="31" t="n">
        <f aca="false">B110+(B111*B112)</f>
        <v>0.145008</v>
      </c>
      <c r="E113" s="37"/>
    </row>
    <row r="114" s="41" customFormat="true" ht="12.8" hidden="false" customHeight="false" outlineLevel="0" collapsed="false">
      <c r="A114" s="32" t="s">
        <v>100</v>
      </c>
      <c r="B114" s="32" t="n">
        <f aca="false">259/8468</f>
        <v>0.0305857345299953</v>
      </c>
      <c r="C114" s="32"/>
      <c r="D114" s="32"/>
      <c r="E114" s="40"/>
    </row>
    <row r="115" customFormat="false" ht="12.8" hidden="false" customHeight="false" outlineLevel="0" collapsed="false">
      <c r="A115" s="1" t="s">
        <v>101</v>
      </c>
      <c r="B115" s="27" t="n">
        <f aca="false">5770000</f>
        <v>5770000</v>
      </c>
      <c r="E115" s="37"/>
    </row>
    <row r="116" customFormat="false" ht="12.8" hidden="false" customHeight="false" outlineLevel="0" collapsed="false">
      <c r="A116" s="1" t="s">
        <v>102</v>
      </c>
      <c r="B116" s="27" t="n">
        <v>31400</v>
      </c>
      <c r="E116" s="37"/>
    </row>
    <row r="117" customFormat="false" ht="12.8" hidden="false" customHeight="false" outlineLevel="0" collapsed="false">
      <c r="A117" s="1" t="s">
        <v>103</v>
      </c>
      <c r="B117" s="27" t="n">
        <f aca="false">B115+B116</f>
        <v>5801400</v>
      </c>
      <c r="E117" s="37"/>
    </row>
    <row r="118" customFormat="false" ht="12.8" hidden="false" customHeight="false" outlineLevel="0" collapsed="false">
      <c r="A118" s="42" t="s">
        <v>104</v>
      </c>
      <c r="B118" s="32" t="n">
        <f aca="false">B115/B117</f>
        <v>0.994587513358844</v>
      </c>
      <c r="E118" s="37"/>
    </row>
    <row r="119" customFormat="false" ht="12.8" hidden="false" customHeight="false" outlineLevel="0" collapsed="false">
      <c r="A119" s="42" t="s">
        <v>105</v>
      </c>
      <c r="B119" s="32" t="n">
        <f aca="false">B116/B117</f>
        <v>0.00541248664115558</v>
      </c>
      <c r="E119" s="37"/>
    </row>
    <row r="120" customFormat="false" ht="12.8" hidden="false" customHeight="false" outlineLevel="0" collapsed="false">
      <c r="A120" s="42" t="s">
        <v>106</v>
      </c>
      <c r="B120" s="31" t="n">
        <f aca="false">17%</f>
        <v>0.17</v>
      </c>
      <c r="E120" s="37"/>
    </row>
    <row r="121" customFormat="false" ht="12.8" hidden="false" customHeight="false" outlineLevel="0" collapsed="false">
      <c r="A121" s="42" t="s">
        <v>107</v>
      </c>
      <c r="B121" s="32" t="n">
        <f aca="false">B114*(1-B120)</f>
        <v>0.0253861596598961</v>
      </c>
      <c r="E121" s="37"/>
    </row>
    <row r="122" customFormat="false" ht="12.8" hidden="false" customHeight="false" outlineLevel="0" collapsed="false">
      <c r="A122" s="43" t="s">
        <v>108</v>
      </c>
      <c r="E122" s="37"/>
    </row>
    <row r="123" customFormat="false" ht="12.8" hidden="false" customHeight="false" outlineLevel="0" collapsed="false">
      <c r="A123" s="42" t="s">
        <v>109</v>
      </c>
      <c r="C123" s="1" t="n">
        <v>1</v>
      </c>
      <c r="D123" s="1" t="n">
        <v>2</v>
      </c>
      <c r="E123" s="37" t="n">
        <v>3</v>
      </c>
      <c r="F123" s="0" t="n">
        <v>4</v>
      </c>
      <c r="G123" s="0" t="n">
        <v>5</v>
      </c>
    </row>
    <row r="124" s="47" customFormat="true" ht="12.8" hidden="false" customHeight="false" outlineLevel="0" collapsed="false">
      <c r="A124" s="44" t="s">
        <v>110</v>
      </c>
      <c r="B124" s="45"/>
      <c r="C124" s="46" t="n">
        <f aca="false">1/(1+$B$109)^C123</f>
        <v>0.873850467328128</v>
      </c>
      <c r="D124" s="46" t="n">
        <f aca="false">1/(1+$B$109)^D123</f>
        <v>0.763614639249587</v>
      </c>
      <c r="E124" s="46" t="n">
        <f aca="false">1/(1+$B$109)^E123</f>
        <v>0.667285009366851</v>
      </c>
      <c r="F124" s="46" t="n">
        <f aca="false">1/(1+$B$109)^F123</f>
        <v>0.583107317276277</v>
      </c>
      <c r="G124" s="46" t="n">
        <f aca="false">1/(1+$B$109)^G123</f>
        <v>0.509548601704326</v>
      </c>
    </row>
    <row r="125" customFormat="false" ht="12.8" hidden="false" customHeight="false" outlineLevel="0" collapsed="false">
      <c r="A125" s="42" t="s">
        <v>111</v>
      </c>
      <c r="C125" s="27" t="n">
        <f aca="false">C103*C124</f>
        <v>146665.738649019</v>
      </c>
      <c r="D125" s="27" t="n">
        <f aca="false">D103*D124</f>
        <v>215532.92864933</v>
      </c>
      <c r="E125" s="27" t="n">
        <f aca="false">E103*E124</f>
        <v>263414.702636192</v>
      </c>
      <c r="F125" s="27" t="n">
        <f aca="false">F103*F124</f>
        <v>282858.415929941</v>
      </c>
      <c r="G125" s="27" t="n">
        <f aca="false">G103*G124</f>
        <v>288536.479779327</v>
      </c>
    </row>
    <row r="126" customFormat="false" ht="12.8" hidden="false" customHeight="false" outlineLevel="0" collapsed="false">
      <c r="A126" s="1" t="s">
        <v>112</v>
      </c>
      <c r="B126" s="27" t="n">
        <f aca="false">SUM(C125:G125)</f>
        <v>1197008.26564381</v>
      </c>
      <c r="E126" s="37"/>
    </row>
    <row r="127" customFormat="false" ht="12.8" hidden="false" customHeight="false" outlineLevel="0" collapsed="false">
      <c r="A127" s="42" t="s">
        <v>113</v>
      </c>
      <c r="B127" s="31" t="n">
        <v>0.03</v>
      </c>
      <c r="E127" s="37"/>
    </row>
    <row r="128" customFormat="false" ht="12.8" hidden="false" customHeight="false" outlineLevel="0" collapsed="false">
      <c r="A128" s="48" t="s">
        <v>114</v>
      </c>
      <c r="B128" s="27" t="n">
        <f aca="false">G103*(1+B127)/($B$109-B127)</f>
        <v>5100069.68696064</v>
      </c>
      <c r="E128" s="37"/>
    </row>
    <row r="129" customFormat="false" ht="12.8" hidden="false" customHeight="false" outlineLevel="0" collapsed="false">
      <c r="A129" s="42" t="s">
        <v>115</v>
      </c>
      <c r="B129" s="27" t="n">
        <f aca="false">B128*G124</f>
        <v>2598733.37758541</v>
      </c>
      <c r="E129" s="37"/>
    </row>
    <row r="130" customFormat="false" ht="12.8" hidden="false" customHeight="false" outlineLevel="0" collapsed="false">
      <c r="A130" s="42" t="s">
        <v>116</v>
      </c>
      <c r="B130" s="27" t="n">
        <f aca="false">B126+B129</f>
        <v>3795741.64322922</v>
      </c>
      <c r="E130" s="37"/>
    </row>
    <row r="131" customFormat="false" ht="12.8" hidden="false" customHeight="false" outlineLevel="0" collapsed="false">
      <c r="A131" s="42" t="s">
        <v>117</v>
      </c>
      <c r="B131" s="27" t="n">
        <v>99369</v>
      </c>
      <c r="E131" s="37"/>
    </row>
    <row r="132" customFormat="false" ht="12.8" hidden="false" customHeight="false" outlineLevel="0" collapsed="false">
      <c r="A132" s="42" t="s">
        <v>118</v>
      </c>
      <c r="B132" s="27" t="n">
        <v>33366</v>
      </c>
      <c r="E132" s="37"/>
    </row>
    <row r="133" customFormat="false" ht="12.8" hidden="false" customHeight="false" outlineLevel="0" collapsed="false">
      <c r="A133" s="42" t="s">
        <v>119</v>
      </c>
      <c r="B133" s="27" t="n">
        <f aca="false">B130+B131-B132</f>
        <v>3861744.64322922</v>
      </c>
      <c r="E133" s="37"/>
    </row>
    <row r="134" customFormat="false" ht="12.8" hidden="false" customHeight="false" outlineLevel="0" collapsed="false">
      <c r="A134" s="42" t="s">
        <v>120</v>
      </c>
      <c r="B134" s="27" t="n">
        <v>24100</v>
      </c>
      <c r="E134" s="37"/>
    </row>
    <row r="135" customFormat="false" ht="12.8" hidden="false" customHeight="false" outlineLevel="0" collapsed="false">
      <c r="A135" s="42" t="s">
        <v>121</v>
      </c>
      <c r="B135" s="27" t="n">
        <f aca="false">B133/B134</f>
        <v>160.238366938972</v>
      </c>
      <c r="E135" s="37"/>
    </row>
    <row r="136" customFormat="false" ht="12.8" hidden="false" customHeight="false" outlineLevel="0" collapsed="false">
      <c r="A136" s="42" t="s">
        <v>122</v>
      </c>
      <c r="B136" s="27" t="n">
        <v>238.9</v>
      </c>
      <c r="E136" s="37"/>
    </row>
    <row r="137" customFormat="false" ht="12.8" hidden="false" customHeight="false" outlineLevel="0" collapsed="false">
      <c r="A137" s="42" t="s">
        <v>123</v>
      </c>
      <c r="B137" s="32" t="n">
        <f aca="false">B135/B136-1</f>
        <v>-0.329265939979189</v>
      </c>
      <c r="E137" s="37"/>
    </row>
    <row r="138" customFormat="false" ht="12.8" hidden="false" customHeight="false" outlineLevel="0" collapsed="false">
      <c r="A138" s="49"/>
      <c r="E138" s="37"/>
    </row>
    <row r="139" customFormat="false" ht="12.8" hidden="false" customHeight="false" outlineLevel="0" collapsed="false">
      <c r="A139" s="42"/>
      <c r="B139" s="50"/>
      <c r="C139" s="50"/>
      <c r="D139" s="50"/>
      <c r="E139" s="50"/>
      <c r="F139" s="50"/>
      <c r="G139" s="51"/>
    </row>
    <row r="140" customFormat="false" ht="12.8" hidden="false" customHeight="false" outlineLevel="0" collapsed="false">
      <c r="A140" s="52"/>
      <c r="B140" s="52"/>
      <c r="C140" s="53"/>
      <c r="D140" s="53"/>
      <c r="E140" s="53"/>
      <c r="F140" s="53"/>
      <c r="G140" s="53"/>
    </row>
    <row r="141" customFormat="false" ht="12.8" hidden="false" customHeight="false" outlineLevel="0" collapsed="false">
      <c r="A141" s="52"/>
      <c r="B141" s="52"/>
      <c r="C141" s="53"/>
      <c r="D141" s="53"/>
      <c r="E141" s="53"/>
      <c r="F141" s="53"/>
      <c r="G141" s="53"/>
    </row>
    <row r="142" customFormat="false" ht="12.8" hidden="false" customHeight="false" outlineLevel="0" collapsed="false">
      <c r="A142" s="52"/>
      <c r="B142" s="52"/>
      <c r="C142" s="53"/>
      <c r="D142" s="53"/>
      <c r="E142" s="53"/>
      <c r="F142" s="53"/>
      <c r="G142" s="53"/>
    </row>
    <row r="143" customFormat="false" ht="12.8" hidden="false" customHeight="false" outlineLevel="0" collapsed="false">
      <c r="A143" s="52"/>
      <c r="B143" s="52"/>
      <c r="C143" s="53"/>
      <c r="D143" s="53"/>
      <c r="E143" s="53"/>
      <c r="F143" s="53"/>
      <c r="G143" s="53"/>
    </row>
    <row r="144" customFormat="false" ht="12.8" hidden="false" customHeight="false" outlineLevel="0" collapsed="false">
      <c r="A144" s="52"/>
      <c r="B144" s="52"/>
      <c r="C144" s="53"/>
      <c r="D144" s="53"/>
      <c r="E144" s="53"/>
      <c r="F144" s="53"/>
      <c r="G144" s="53"/>
    </row>
    <row r="145" customFormat="false" ht="12.8" hidden="false" customHeight="false" outlineLevel="0" collapsed="false">
      <c r="E145" s="37"/>
      <c r="F145" s="37"/>
    </row>
    <row r="146" customFormat="false" ht="12.8" hidden="false" customHeight="false" outlineLevel="0" collapsed="false">
      <c r="E146" s="37"/>
      <c r="F146" s="37"/>
    </row>
    <row r="147" customFormat="false" ht="12.8" hidden="false" customHeight="false" outlineLevel="0" collapsed="false">
      <c r="E147" s="37"/>
    </row>
    <row r="148" customFormat="false" ht="12.8" hidden="false" customHeight="false" outlineLevel="0" collapsed="false">
      <c r="E148" s="37"/>
    </row>
    <row r="149" customFormat="false" ht="12.8" hidden="false" customHeight="false" outlineLevel="0" collapsed="false">
      <c r="E149" s="37"/>
    </row>
    <row r="150" customFormat="false" ht="12.8" hidden="false" customHeight="false" outlineLevel="0" collapsed="false">
      <c r="E150" s="37"/>
    </row>
    <row r="151" customFormat="false" ht="12.8" hidden="false" customHeight="false" outlineLevel="0" collapsed="false">
      <c r="E151" s="37"/>
    </row>
    <row r="152" customFormat="false" ht="12.8" hidden="false" customHeight="false" outlineLevel="0" collapsed="false">
      <c r="E152" s="37"/>
    </row>
    <row r="153" customFormat="false" ht="12.8" hidden="false" customHeight="false" outlineLevel="0" collapsed="false">
      <c r="E153" s="37"/>
    </row>
    <row r="154" customFormat="false" ht="12.8" hidden="false" customHeight="false" outlineLevel="0" collapsed="false">
      <c r="E154" s="37"/>
    </row>
    <row r="155" customFormat="false" ht="12.8" hidden="false" customHeight="false" outlineLevel="0" collapsed="false">
      <c r="E155" s="37"/>
    </row>
    <row r="156" customFormat="false" ht="12.8" hidden="false" customHeight="false" outlineLevel="0" collapsed="false">
      <c r="E156" s="37"/>
    </row>
    <row r="157" customFormat="false" ht="12.8" hidden="false" customHeight="false" outlineLevel="0" collapsed="false">
      <c r="E157" s="37"/>
    </row>
    <row r="158" customFormat="false" ht="12.8" hidden="false" customHeight="false" outlineLevel="0" collapsed="false">
      <c r="E158" s="37"/>
    </row>
    <row r="159" customFormat="false" ht="12.8" hidden="false" customHeight="false" outlineLevel="0" collapsed="false">
      <c r="E159" s="37"/>
    </row>
    <row r="160" customFormat="false" ht="12.8" hidden="false" customHeight="false" outlineLevel="0" collapsed="false">
      <c r="E160" s="37"/>
    </row>
    <row r="161" customFormat="false" ht="12.8" hidden="false" customHeight="false" outlineLevel="0" collapsed="false">
      <c r="E161" s="37"/>
    </row>
    <row r="162" customFormat="false" ht="12.8" hidden="false" customHeight="false" outlineLevel="0" collapsed="false">
      <c r="E162" s="37"/>
    </row>
    <row r="163" customFormat="false" ht="12.8" hidden="false" customHeight="false" outlineLevel="0" collapsed="false">
      <c r="E163" s="37"/>
    </row>
    <row r="164" customFormat="false" ht="12.8" hidden="false" customHeight="false" outlineLevel="0" collapsed="false">
      <c r="E164" s="37"/>
    </row>
    <row r="165" customFormat="false" ht="12.8" hidden="false" customHeight="false" outlineLevel="0" collapsed="false">
      <c r="E165" s="37"/>
    </row>
    <row r="166" customFormat="false" ht="12.8" hidden="false" customHeight="false" outlineLevel="0" collapsed="false">
      <c r="E166" s="37"/>
    </row>
    <row r="167" customFormat="false" ht="12.8" hidden="false" customHeight="false" outlineLevel="0" collapsed="false">
      <c r="E167" s="37"/>
    </row>
    <row r="168" customFormat="false" ht="12.8" hidden="false" customHeight="false" outlineLevel="0" collapsed="false">
      <c r="E168" s="37"/>
    </row>
    <row r="169" customFormat="false" ht="12.8" hidden="false" customHeight="false" outlineLevel="0" collapsed="false">
      <c r="E169" s="37"/>
    </row>
    <row r="170" customFormat="false" ht="12.8" hidden="false" customHeight="false" outlineLevel="0" collapsed="false">
      <c r="E170" s="37"/>
    </row>
    <row r="171" customFormat="false" ht="12.8" hidden="false" customHeight="false" outlineLevel="0" collapsed="false">
      <c r="E171" s="37"/>
    </row>
    <row r="172" customFormat="false" ht="12.8" hidden="false" customHeight="false" outlineLevel="0" collapsed="false">
      <c r="E172" s="37"/>
    </row>
    <row r="173" customFormat="false" ht="12.8" hidden="false" customHeight="false" outlineLevel="0" collapsed="false">
      <c r="E173" s="37"/>
    </row>
    <row r="174" customFormat="false" ht="12.8" hidden="false" customHeight="false" outlineLevel="0" collapsed="false">
      <c r="E174" s="37"/>
    </row>
    <row r="175" customFormat="false" ht="12.8" hidden="false" customHeight="false" outlineLevel="0" collapsed="false">
      <c r="E175" s="37"/>
    </row>
    <row r="176" customFormat="false" ht="12.8" hidden="false" customHeight="false" outlineLevel="0" collapsed="false">
      <c r="E176" s="37"/>
    </row>
    <row r="177" customFormat="false" ht="12.8" hidden="false" customHeight="false" outlineLevel="0" collapsed="false">
      <c r="E177" s="37"/>
    </row>
    <row r="178" customFormat="false" ht="12.8" hidden="false" customHeight="false" outlineLevel="0" collapsed="false">
      <c r="E178" s="37"/>
    </row>
    <row r="179" customFormat="false" ht="12.8" hidden="false" customHeight="false" outlineLevel="0" collapsed="false">
      <c r="E179" s="37"/>
    </row>
    <row r="180" customFormat="false" ht="12.8" hidden="false" customHeight="false" outlineLevel="0" collapsed="false">
      <c r="E180" s="37"/>
    </row>
    <row r="181" customFormat="false" ht="12.8" hidden="false" customHeight="false" outlineLevel="0" collapsed="false">
      <c r="E181" s="37"/>
    </row>
    <row r="182" customFormat="false" ht="12.8" hidden="false" customHeight="false" outlineLevel="0" collapsed="false">
      <c r="E182" s="37"/>
    </row>
    <row r="183" customFormat="false" ht="12.8" hidden="false" customHeight="false" outlineLevel="0" collapsed="false">
      <c r="E183" s="37"/>
    </row>
    <row r="184" customFormat="false" ht="12.8" hidden="false" customHeight="false" outlineLevel="0" collapsed="false">
      <c r="E184" s="37"/>
    </row>
    <row r="185" customFormat="false" ht="12.8" hidden="false" customHeight="false" outlineLevel="0" collapsed="false">
      <c r="E185" s="37"/>
    </row>
    <row r="186" customFormat="false" ht="12.8" hidden="false" customHeight="false" outlineLevel="0" collapsed="false">
      <c r="E186" s="37"/>
    </row>
    <row r="187" customFormat="false" ht="12.8" hidden="false" customHeight="false" outlineLevel="0" collapsed="false">
      <c r="E187" s="37"/>
    </row>
    <row r="188" customFormat="false" ht="12.8" hidden="false" customHeight="false" outlineLevel="0" collapsed="false">
      <c r="E188" s="37"/>
    </row>
    <row r="189" customFormat="false" ht="12.8" hidden="false" customHeight="false" outlineLevel="0" collapsed="false">
      <c r="E189" s="37"/>
    </row>
    <row r="190" customFormat="false" ht="12.8" hidden="false" customHeight="false" outlineLevel="0" collapsed="false">
      <c r="E190" s="37"/>
    </row>
    <row r="191" customFormat="false" ht="12.8" hidden="false" customHeight="false" outlineLevel="0" collapsed="false">
      <c r="E191" s="37"/>
    </row>
    <row r="192" customFormat="false" ht="12.8" hidden="false" customHeight="false" outlineLevel="0" collapsed="false">
      <c r="E192" s="37"/>
    </row>
    <row r="193" customFormat="false" ht="12.8" hidden="false" customHeight="false" outlineLevel="0" collapsed="false">
      <c r="E193" s="37"/>
    </row>
    <row r="194" customFormat="false" ht="12.8" hidden="false" customHeight="false" outlineLevel="0" collapsed="false">
      <c r="E194" s="37"/>
    </row>
    <row r="195" customFormat="false" ht="12.8" hidden="false" customHeight="false" outlineLevel="0" collapsed="false">
      <c r="E195" s="37"/>
    </row>
    <row r="196" customFormat="false" ht="12.8" hidden="false" customHeight="false" outlineLevel="0" collapsed="false">
      <c r="E196" s="37"/>
    </row>
    <row r="197" customFormat="false" ht="12.8" hidden="false" customHeight="false" outlineLevel="0" collapsed="false">
      <c r="E197" s="37"/>
    </row>
    <row r="198" customFormat="false" ht="12.8" hidden="false" customHeight="false" outlineLevel="0" collapsed="false">
      <c r="E198" s="37"/>
    </row>
    <row r="199" customFormat="false" ht="12.8" hidden="false" customHeight="false" outlineLevel="0" collapsed="false">
      <c r="E199" s="37"/>
    </row>
    <row r="200" customFormat="false" ht="12.8" hidden="false" customHeight="false" outlineLevel="0" collapsed="false">
      <c r="E200" s="37"/>
    </row>
    <row r="201" customFormat="false" ht="12.8" hidden="false" customHeight="false" outlineLevel="0" collapsed="false">
      <c r="E201" s="37"/>
    </row>
    <row r="202" customFormat="false" ht="12.8" hidden="false" customHeight="false" outlineLevel="0" collapsed="false">
      <c r="E202" s="37"/>
    </row>
    <row r="203" customFormat="false" ht="12.8" hidden="false" customHeight="false" outlineLevel="0" collapsed="false">
      <c r="E203" s="37"/>
    </row>
    <row r="204" customFormat="false" ht="12.8" hidden="false" customHeight="false" outlineLevel="0" collapsed="false">
      <c r="E204" s="37"/>
    </row>
    <row r="205" customFormat="false" ht="12.8" hidden="false" customHeight="false" outlineLevel="0" collapsed="false">
      <c r="E205" s="37"/>
    </row>
    <row r="206" customFormat="false" ht="12.8" hidden="false" customHeight="false" outlineLevel="0" collapsed="false">
      <c r="E206" s="37"/>
    </row>
    <row r="207" customFormat="false" ht="12.8" hidden="false" customHeight="false" outlineLevel="0" collapsed="false">
      <c r="E207" s="37"/>
    </row>
    <row r="208" customFormat="false" ht="12.8" hidden="false" customHeight="false" outlineLevel="0" collapsed="false">
      <c r="E208" s="37"/>
    </row>
    <row r="209" customFormat="false" ht="12.8" hidden="false" customHeight="false" outlineLevel="0" collapsed="false">
      <c r="E209" s="37"/>
    </row>
    <row r="210" customFormat="false" ht="12.8" hidden="false" customHeight="false" outlineLevel="0" collapsed="false">
      <c r="E210" s="37"/>
    </row>
    <row r="211" customFormat="false" ht="12.8" hidden="false" customHeight="false" outlineLevel="0" collapsed="false">
      <c r="E211" s="37"/>
    </row>
    <row r="212" customFormat="false" ht="12.8" hidden="false" customHeight="false" outlineLevel="0" collapsed="false">
      <c r="E212" s="37"/>
    </row>
    <row r="213" customFormat="false" ht="12.8" hidden="false" customHeight="false" outlineLevel="0" collapsed="false">
      <c r="E213" s="37"/>
    </row>
    <row r="214" customFormat="false" ht="12.8" hidden="false" customHeight="false" outlineLevel="0" collapsed="false">
      <c r="E214" s="37"/>
    </row>
    <row r="215" customFormat="false" ht="12.8" hidden="false" customHeight="false" outlineLevel="0" collapsed="false">
      <c r="E215" s="37"/>
    </row>
    <row r="216" customFormat="false" ht="12.8" hidden="false" customHeight="false" outlineLevel="0" collapsed="false">
      <c r="E216" s="37"/>
    </row>
    <row r="217" customFormat="false" ht="12.8" hidden="false" customHeight="false" outlineLevel="0" collapsed="false">
      <c r="E217" s="37"/>
    </row>
    <row r="218" customFormat="false" ht="12.8" hidden="false" customHeight="false" outlineLevel="0" collapsed="false">
      <c r="E218" s="37"/>
    </row>
    <row r="219" customFormat="false" ht="12.8" hidden="false" customHeight="false" outlineLevel="0" collapsed="false">
      <c r="E219" s="37"/>
    </row>
    <row r="220" customFormat="false" ht="12.8" hidden="false" customHeight="false" outlineLevel="0" collapsed="false">
      <c r="E220" s="37"/>
    </row>
    <row r="221" customFormat="false" ht="12.8" hidden="false" customHeight="false" outlineLevel="0" collapsed="false">
      <c r="E221" s="37"/>
    </row>
    <row r="222" customFormat="false" ht="12.8" hidden="false" customHeight="false" outlineLevel="0" collapsed="false">
      <c r="E222" s="37"/>
    </row>
    <row r="223" customFormat="false" ht="12.8" hidden="false" customHeight="false" outlineLevel="0" collapsed="false">
      <c r="E223" s="37"/>
    </row>
    <row r="224" customFormat="false" ht="12.8" hidden="false" customHeight="false" outlineLevel="0" collapsed="false">
      <c r="E224" s="37"/>
    </row>
    <row r="225" customFormat="false" ht="12.8" hidden="false" customHeight="false" outlineLevel="0" collapsed="false">
      <c r="E225" s="37"/>
    </row>
    <row r="226" customFormat="false" ht="12.8" hidden="false" customHeight="false" outlineLevel="0" collapsed="false">
      <c r="E226" s="37"/>
    </row>
    <row r="227" customFormat="false" ht="12.8" hidden="false" customHeight="false" outlineLevel="0" collapsed="false">
      <c r="E227" s="37"/>
    </row>
    <row r="228" customFormat="false" ht="12.8" hidden="false" customHeight="false" outlineLevel="0" collapsed="false">
      <c r="E228" s="37"/>
    </row>
    <row r="229" customFormat="false" ht="12.8" hidden="false" customHeight="false" outlineLevel="0" collapsed="false">
      <c r="E229" s="37"/>
    </row>
    <row r="230" customFormat="false" ht="12.8" hidden="false" customHeight="false" outlineLevel="0" collapsed="false">
      <c r="E230" s="37"/>
    </row>
    <row r="231" customFormat="false" ht="12.8" hidden="false" customHeight="false" outlineLevel="0" collapsed="false">
      <c r="E231" s="37"/>
    </row>
    <row r="232" customFormat="false" ht="12.8" hidden="false" customHeight="false" outlineLevel="0" collapsed="false">
      <c r="E232" s="37"/>
    </row>
    <row r="233" customFormat="false" ht="12.8" hidden="false" customHeight="false" outlineLevel="0" collapsed="false">
      <c r="E233" s="37"/>
    </row>
    <row r="234" customFormat="false" ht="12.8" hidden="false" customHeight="false" outlineLevel="0" collapsed="false">
      <c r="E234" s="37"/>
    </row>
    <row r="235" customFormat="false" ht="12.8" hidden="false" customHeight="false" outlineLevel="0" collapsed="false">
      <c r="E235" s="37"/>
    </row>
    <row r="236" customFormat="false" ht="12.8" hidden="false" customHeight="false" outlineLevel="0" collapsed="false">
      <c r="E236" s="37"/>
    </row>
    <row r="237" customFormat="false" ht="12.8" hidden="false" customHeight="false" outlineLevel="0" collapsed="false">
      <c r="E237" s="37"/>
    </row>
    <row r="238" customFormat="false" ht="12.8" hidden="false" customHeight="false" outlineLevel="0" collapsed="false">
      <c r="E238" s="37"/>
    </row>
    <row r="239" customFormat="false" ht="12.8" hidden="false" customHeight="false" outlineLevel="0" collapsed="false">
      <c r="E239" s="37"/>
    </row>
    <row r="240" customFormat="false" ht="12.8" hidden="false" customHeight="false" outlineLevel="0" collapsed="false">
      <c r="E240" s="37"/>
    </row>
    <row r="241" customFormat="false" ht="12.8" hidden="false" customHeight="false" outlineLevel="0" collapsed="false">
      <c r="E241" s="3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2026-10-03T14:57:23Z</dcterms:created>
  <dc:creator/>
  <dc:description/>
  <dc:language>en-GB</dc:language>
  <cp:lastModifiedBy/>
  <cp:lastPrinted>2026-10-03T17:39:18Z</cp:lastPrinted>
  <dcterms:modified xsi:type="dcterms:W3CDTF">2026-10-06T02:25:25Z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